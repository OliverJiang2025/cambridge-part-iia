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yongqingjiang/Documents/Cambridge_Engineering_Coursework/3B6_lab/"/>
    </mc:Choice>
  </mc:AlternateContent>
  <xr:revisionPtr revIDLastSave="0" documentId="13_ncr:1_{2C308996-F7CB-FE43-A6FD-58A45DF4B79B}" xr6:coauthVersionLast="47" xr6:coauthVersionMax="47" xr10:uidLastSave="{00000000-0000-0000-0000-000000000000}"/>
  <bookViews>
    <workbookView xWindow="600" yWindow="660" windowWidth="28800" windowHeight="15340" xr2:uid="{3FF7786E-42CA-7741-AAEE-85A353A7F2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I1" i="1"/>
</calcChain>
</file>

<file path=xl/sharedStrings.xml><?xml version="1.0" encoding="utf-8"?>
<sst xmlns="http://schemas.openxmlformats.org/spreadsheetml/2006/main" count="12" uniqueCount="12">
  <si>
    <t>Voltage Probe Reading (V)</t>
    <phoneticPr fontId="1" type="noConversion"/>
  </si>
  <si>
    <t>Current Probe Reading (V)</t>
    <phoneticPr fontId="1" type="noConversion"/>
  </si>
  <si>
    <t>Photodiode Probe Reading (mV)</t>
    <phoneticPr fontId="1" type="noConversion"/>
  </si>
  <si>
    <t xml:space="preserve"> </t>
    <phoneticPr fontId="1" type="noConversion"/>
  </si>
  <si>
    <t>Imax (V)</t>
    <phoneticPr fontId="1" type="noConversion"/>
  </si>
  <si>
    <t>Imax (mA)</t>
    <phoneticPr fontId="1" type="noConversion"/>
  </si>
  <si>
    <t>TIR resistor (ohm)</t>
    <phoneticPr fontId="1" type="noConversion"/>
  </si>
  <si>
    <t>Actual Current (mA)</t>
    <phoneticPr fontId="1" type="noConversion"/>
  </si>
  <si>
    <t>Current (mA)</t>
  </si>
  <si>
    <t>center wavelength (um)</t>
  </si>
  <si>
    <t>3dB width (um)</t>
  </si>
  <si>
    <t>ripple width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</si>
</sst>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Voltage-Current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Actual Current (mA)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Sheet1!$C$2:$C$26</c:f>
              <c:numCache>
                <c:formatCode>General</c:formatCode>
                <c:ptCount val="25"/>
                <c:pt idx="0">
                  <c:v>93.5</c:v>
                </c:pt>
                <c:pt idx="1">
                  <c:v>90.5</c:v>
                </c:pt>
                <c:pt idx="2">
                  <c:v>88.5</c:v>
                </c:pt>
                <c:pt idx="3">
                  <c:v>85.499999999999986</c:v>
                </c:pt>
                <c:pt idx="4">
                  <c:v>82.499999999999986</c:v>
                </c:pt>
                <c:pt idx="5">
                  <c:v>78.5</c:v>
                </c:pt>
                <c:pt idx="6">
                  <c:v>76.5</c:v>
                </c:pt>
                <c:pt idx="7">
                  <c:v>73.5</c:v>
                </c:pt>
                <c:pt idx="8">
                  <c:v>70.5</c:v>
                </c:pt>
                <c:pt idx="9">
                  <c:v>68.5</c:v>
                </c:pt>
                <c:pt idx="10">
                  <c:v>65.5</c:v>
                </c:pt>
                <c:pt idx="11">
                  <c:v>59.5</c:v>
                </c:pt>
                <c:pt idx="12">
                  <c:v>56.499999999999993</c:v>
                </c:pt>
                <c:pt idx="13">
                  <c:v>51.500000000000007</c:v>
                </c:pt>
                <c:pt idx="14">
                  <c:v>47</c:v>
                </c:pt>
                <c:pt idx="15">
                  <c:v>44</c:v>
                </c:pt>
                <c:pt idx="16">
                  <c:v>39</c:v>
                </c:pt>
                <c:pt idx="17">
                  <c:v>31</c:v>
                </c:pt>
                <c:pt idx="18">
                  <c:v>27.000000000000004</c:v>
                </c:pt>
                <c:pt idx="19">
                  <c:v>23</c:v>
                </c:pt>
                <c:pt idx="20">
                  <c:v>19</c:v>
                </c:pt>
                <c:pt idx="21">
                  <c:v>14.000000000000002</c:v>
                </c:pt>
                <c:pt idx="22">
                  <c:v>9</c:v>
                </c:pt>
                <c:pt idx="23">
                  <c:v>6</c:v>
                </c:pt>
                <c:pt idx="24">
                  <c:v>4</c:v>
                </c:pt>
              </c:numCache>
            </c:numRef>
          </c:xVal>
          <c:yVal>
            <c:numRef>
              <c:f>Sheet1!$A$2:$A$26</c:f>
              <c:numCache>
                <c:formatCode>General</c:formatCode>
                <c:ptCount val="25"/>
                <c:pt idx="0">
                  <c:v>3.34</c:v>
                </c:pt>
                <c:pt idx="1">
                  <c:v>3.22</c:v>
                </c:pt>
                <c:pt idx="2">
                  <c:v>3.18</c:v>
                </c:pt>
                <c:pt idx="3">
                  <c:v>3.1</c:v>
                </c:pt>
                <c:pt idx="4">
                  <c:v>3.06</c:v>
                </c:pt>
                <c:pt idx="5">
                  <c:v>3.02</c:v>
                </c:pt>
                <c:pt idx="6">
                  <c:v>2.89</c:v>
                </c:pt>
                <c:pt idx="7">
                  <c:v>2.81</c:v>
                </c:pt>
                <c:pt idx="8">
                  <c:v>2.77</c:v>
                </c:pt>
                <c:pt idx="9">
                  <c:v>2.69</c:v>
                </c:pt>
                <c:pt idx="10">
                  <c:v>2.61</c:v>
                </c:pt>
                <c:pt idx="11">
                  <c:v>2.5299999999999998</c:v>
                </c:pt>
                <c:pt idx="12">
                  <c:v>2.4500000000000002</c:v>
                </c:pt>
                <c:pt idx="13">
                  <c:v>2.33</c:v>
                </c:pt>
                <c:pt idx="14">
                  <c:v>2.25</c:v>
                </c:pt>
                <c:pt idx="15">
                  <c:v>2.17</c:v>
                </c:pt>
                <c:pt idx="16">
                  <c:v>2.09</c:v>
                </c:pt>
                <c:pt idx="17">
                  <c:v>1.93</c:v>
                </c:pt>
                <c:pt idx="18">
                  <c:v>1.89</c:v>
                </c:pt>
                <c:pt idx="19">
                  <c:v>1.81</c:v>
                </c:pt>
                <c:pt idx="20">
                  <c:v>1.65</c:v>
                </c:pt>
                <c:pt idx="21">
                  <c:v>1.61</c:v>
                </c:pt>
                <c:pt idx="22">
                  <c:v>1.29</c:v>
                </c:pt>
                <c:pt idx="23">
                  <c:v>1.05</c:v>
                </c:pt>
                <c:pt idx="24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1-D74A-A612-06262DFBD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123968"/>
        <c:axId val="958121280"/>
      </c:scatterChart>
      <c:valAx>
        <c:axId val="95812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Current 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21280"/>
        <c:crosses val="autoZero"/>
        <c:crossBetween val="midCat"/>
      </c:valAx>
      <c:valAx>
        <c:axId val="9581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Voltage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2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Intensity-Current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Photodiode Probe Reading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Sheet1!$C$2:$C$26</c:f>
              <c:numCache>
                <c:formatCode>General</c:formatCode>
                <c:ptCount val="25"/>
                <c:pt idx="0">
                  <c:v>93.5</c:v>
                </c:pt>
                <c:pt idx="1">
                  <c:v>90.5</c:v>
                </c:pt>
                <c:pt idx="2">
                  <c:v>88.5</c:v>
                </c:pt>
                <c:pt idx="3">
                  <c:v>85.499999999999986</c:v>
                </c:pt>
                <c:pt idx="4">
                  <c:v>82.499999999999986</c:v>
                </c:pt>
                <c:pt idx="5">
                  <c:v>78.5</c:v>
                </c:pt>
                <c:pt idx="6">
                  <c:v>76.5</c:v>
                </c:pt>
                <c:pt idx="7">
                  <c:v>73.5</c:v>
                </c:pt>
                <c:pt idx="8">
                  <c:v>70.5</c:v>
                </c:pt>
                <c:pt idx="9">
                  <c:v>68.5</c:v>
                </c:pt>
                <c:pt idx="10">
                  <c:v>65.5</c:v>
                </c:pt>
                <c:pt idx="11">
                  <c:v>59.5</c:v>
                </c:pt>
                <c:pt idx="12">
                  <c:v>56.499999999999993</c:v>
                </c:pt>
                <c:pt idx="13">
                  <c:v>51.500000000000007</c:v>
                </c:pt>
                <c:pt idx="14">
                  <c:v>47</c:v>
                </c:pt>
                <c:pt idx="15">
                  <c:v>44</c:v>
                </c:pt>
                <c:pt idx="16">
                  <c:v>39</c:v>
                </c:pt>
                <c:pt idx="17">
                  <c:v>31</c:v>
                </c:pt>
                <c:pt idx="18">
                  <c:v>27.000000000000004</c:v>
                </c:pt>
                <c:pt idx="19">
                  <c:v>23</c:v>
                </c:pt>
                <c:pt idx="20">
                  <c:v>19</c:v>
                </c:pt>
                <c:pt idx="21">
                  <c:v>14.000000000000002</c:v>
                </c:pt>
                <c:pt idx="22">
                  <c:v>9</c:v>
                </c:pt>
                <c:pt idx="23">
                  <c:v>6</c:v>
                </c:pt>
                <c:pt idx="24">
                  <c:v>4</c:v>
                </c:pt>
              </c:numCache>
            </c:numRef>
          </c:xVal>
          <c:yVal>
            <c:numRef>
              <c:f>Sheet1!$D$2:$D$26</c:f>
              <c:numCache>
                <c:formatCode>General</c:formatCode>
                <c:ptCount val="25"/>
                <c:pt idx="0">
                  <c:v>470</c:v>
                </c:pt>
                <c:pt idx="1">
                  <c:v>430</c:v>
                </c:pt>
                <c:pt idx="2">
                  <c:v>390</c:v>
                </c:pt>
                <c:pt idx="3">
                  <c:v>326</c:v>
                </c:pt>
                <c:pt idx="4">
                  <c:v>261</c:v>
                </c:pt>
                <c:pt idx="5">
                  <c:v>201</c:v>
                </c:pt>
                <c:pt idx="6">
                  <c:v>149</c:v>
                </c:pt>
                <c:pt idx="7">
                  <c:v>84</c:v>
                </c:pt>
                <c:pt idx="8">
                  <c:v>76</c:v>
                </c:pt>
                <c:pt idx="9">
                  <c:v>72</c:v>
                </c:pt>
                <c:pt idx="10">
                  <c:v>80</c:v>
                </c:pt>
                <c:pt idx="11">
                  <c:v>76</c:v>
                </c:pt>
                <c:pt idx="12">
                  <c:v>96</c:v>
                </c:pt>
                <c:pt idx="13">
                  <c:v>84</c:v>
                </c:pt>
                <c:pt idx="14">
                  <c:v>88</c:v>
                </c:pt>
                <c:pt idx="15">
                  <c:v>84</c:v>
                </c:pt>
                <c:pt idx="16">
                  <c:v>76</c:v>
                </c:pt>
                <c:pt idx="17">
                  <c:v>88</c:v>
                </c:pt>
                <c:pt idx="18">
                  <c:v>72</c:v>
                </c:pt>
                <c:pt idx="19">
                  <c:v>72</c:v>
                </c:pt>
                <c:pt idx="20">
                  <c:v>68</c:v>
                </c:pt>
                <c:pt idx="21">
                  <c:v>60</c:v>
                </c:pt>
                <c:pt idx="22">
                  <c:v>68</c:v>
                </c:pt>
                <c:pt idx="23">
                  <c:v>64</c:v>
                </c:pt>
                <c:pt idx="2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4-BD44-AE80-96016331F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141504"/>
        <c:axId val="1091127040"/>
      </c:scatterChart>
      <c:valAx>
        <c:axId val="111314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Current</a:t>
                </a:r>
                <a:r>
                  <a:rPr lang="en-US" altLang="zh-CN" baseline="0"/>
                  <a:t> (mA)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27040"/>
        <c:crosses val="autoZero"/>
        <c:crossBetween val="midCat"/>
      </c:valAx>
      <c:valAx>
        <c:axId val="10911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Photodiode</a:t>
                </a:r>
                <a:r>
                  <a:rPr lang="en-US" altLang="zh-CN" baseline="0"/>
                  <a:t> Reading (mV)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4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807517</xdr:colOff>
      <xdr:row>14</xdr:row>
      <xdr:rowOff>33268</xdr:rowOff>
    </xdr:from>
    <xdr:to>
      <xdr:col>9</xdr:col>
      <xdr:colOff>468101</xdr:colOff>
      <xdr:row>25</xdr:row>
      <xdr:rowOff>101151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3F9F57B-6370-C728-F9AD-3E6DE43F8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813137</xdr:colOff>
      <xdr:row>2</xdr:row>
      <xdr:rowOff>55745</xdr:rowOff>
    </xdr:from>
    <xdr:to>
      <xdr:col>9</xdr:col>
      <xdr:colOff>473721</xdr:colOff>
      <xdr:row>13</xdr:row>
      <xdr:rowOff>168584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CEC8747-6EAB-7522-F4B3-082C6A301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E31C-01A4-D647-9A0F-CF302FE0FF01}">
  <dimension ref="A1:I26"/>
  <sheetViews>
    <sheetView tabSelected="1" zoomScale="113" workbookViewId="0">
      <selection activeCell="C12" sqref="C12"/>
    </sheetView>
  </sheetViews>
  <sheetFormatPr baseColWidth="10" defaultColWidth="10.83203125" defaultRowHeight="16"/>
  <cols>
    <col min="1" max="1" width="34.1640625" style="1" customWidth="1"/>
    <col min="2" max="2" width="36" style="1" customWidth="1"/>
    <col min="3" max="3" width="26.6640625" style="1" customWidth="1"/>
    <col min="4" max="4" width="33" style="1" customWidth="1"/>
    <col min="5" max="5" width="10.83203125" style="1"/>
    <col min="6" max="6" width="19" style="1" customWidth="1"/>
    <col min="7" max="7" width="10.83203125" style="1"/>
    <col min="8" max="8" width="13.1640625" style="1" customWidth="1"/>
    <col min="9" max="16384" width="10.83203125" style="1"/>
  </cols>
  <sheetData>
    <row r="1" spans="1:9">
      <c r="A1" s="2" t="s">
        <v>0</v>
      </c>
      <c r="B1" s="3" t="s">
        <v>1</v>
      </c>
      <c r="C1" s="3" t="s">
        <v>7</v>
      </c>
      <c r="D1" s="4" t="s">
        <v>2</v>
      </c>
      <c r="E1" s="5"/>
      <c r="F1" s="6" t="s">
        <v>5</v>
      </c>
      <c r="G1" s="6">
        <v>93.5</v>
      </c>
      <c r="H1" s="6" t="s">
        <v>4</v>
      </c>
      <c r="I1" s="6">
        <f>G1*G2/1000</f>
        <v>1.87</v>
      </c>
    </row>
    <row r="2" spans="1:9">
      <c r="A2" s="7">
        <v>3.34</v>
      </c>
      <c r="B2" s="8">
        <v>1.87</v>
      </c>
      <c r="C2" s="8">
        <f>B2/$G$2*1000</f>
        <v>93.5</v>
      </c>
      <c r="D2" s="9">
        <v>470</v>
      </c>
      <c r="E2" s="5"/>
      <c r="F2" s="6" t="s">
        <v>6</v>
      </c>
      <c r="G2" s="6">
        <v>20</v>
      </c>
      <c r="H2" s="5"/>
      <c r="I2" s="5"/>
    </row>
    <row r="3" spans="1:9">
      <c r="A3" s="7">
        <v>3.22</v>
      </c>
      <c r="B3" s="8">
        <v>1.81</v>
      </c>
      <c r="C3" s="8">
        <f t="shared" ref="C3:C26" si="0">B3/$G$2*1000</f>
        <v>90.5</v>
      </c>
      <c r="D3" s="9">
        <v>430</v>
      </c>
      <c r="E3" s="5"/>
      <c r="F3" s="5"/>
      <c r="G3" s="5"/>
      <c r="H3" s="5"/>
      <c r="I3" s="5"/>
    </row>
    <row r="4" spans="1:9">
      <c r="A4" s="7">
        <v>3.18</v>
      </c>
      <c r="B4" s="8">
        <v>1.77</v>
      </c>
      <c r="C4" s="8">
        <f t="shared" si="0"/>
        <v>88.5</v>
      </c>
      <c r="D4" s="9">
        <v>390</v>
      </c>
      <c r="E4" s="5"/>
      <c r="F4" s="5"/>
      <c r="G4" s="5"/>
      <c r="H4" s="5"/>
      <c r="I4" s="5"/>
    </row>
    <row r="5" spans="1:9">
      <c r="A5" s="7">
        <v>3.1</v>
      </c>
      <c r="B5" s="8">
        <v>1.71</v>
      </c>
      <c r="C5" s="8">
        <f t="shared" si="0"/>
        <v>85.499999999999986</v>
      </c>
      <c r="D5" s="9">
        <v>326</v>
      </c>
      <c r="E5" s="5"/>
      <c r="F5" s="5"/>
      <c r="G5" s="5"/>
      <c r="H5" s="5"/>
      <c r="I5" s="5"/>
    </row>
    <row r="6" spans="1:9">
      <c r="A6" s="7">
        <v>3.06</v>
      </c>
      <c r="B6" s="8">
        <v>1.65</v>
      </c>
      <c r="C6" s="8">
        <f t="shared" si="0"/>
        <v>82.499999999999986</v>
      </c>
      <c r="D6" s="9">
        <v>261</v>
      </c>
      <c r="E6" s="5"/>
      <c r="F6" s="5"/>
      <c r="G6" s="5"/>
      <c r="H6" s="5"/>
      <c r="I6" s="5"/>
    </row>
    <row r="7" spans="1:9">
      <c r="A7" s="7">
        <v>3.02</v>
      </c>
      <c r="B7" s="8">
        <v>1.57</v>
      </c>
      <c r="C7" s="8">
        <f t="shared" si="0"/>
        <v>78.5</v>
      </c>
      <c r="D7" s="9">
        <v>201</v>
      </c>
      <c r="E7" s="5"/>
      <c r="F7" s="5"/>
      <c r="G7" s="5"/>
      <c r="H7" s="5"/>
      <c r="I7" s="5"/>
    </row>
    <row r="8" spans="1:9">
      <c r="A8" s="7">
        <v>2.89</v>
      </c>
      <c r="B8" s="8">
        <v>1.53</v>
      </c>
      <c r="C8" s="8">
        <f t="shared" si="0"/>
        <v>76.5</v>
      </c>
      <c r="D8" s="9">
        <v>149</v>
      </c>
      <c r="E8" s="5"/>
      <c r="F8" s="5"/>
      <c r="G8" s="5"/>
      <c r="H8" s="5"/>
      <c r="I8" s="5"/>
    </row>
    <row r="9" spans="1:9">
      <c r="A9" s="7">
        <v>2.81</v>
      </c>
      <c r="B9" s="8">
        <v>1.47</v>
      </c>
      <c r="C9" s="8">
        <f t="shared" si="0"/>
        <v>73.5</v>
      </c>
      <c r="D9" s="9">
        <v>84</v>
      </c>
      <c r="E9" s="5"/>
      <c r="F9" s="5"/>
      <c r="G9" s="5"/>
      <c r="H9" s="5"/>
      <c r="I9" s="5"/>
    </row>
    <row r="10" spans="1:9">
      <c r="A10" s="7">
        <v>2.77</v>
      </c>
      <c r="B10" s="8">
        <v>1.41</v>
      </c>
      <c r="C10" s="8">
        <f t="shared" si="0"/>
        <v>70.5</v>
      </c>
      <c r="D10" s="9">
        <v>76</v>
      </c>
      <c r="E10" s="5" t="s">
        <v>3</v>
      </c>
      <c r="F10" s="5"/>
      <c r="G10" s="5"/>
      <c r="H10" s="5"/>
      <c r="I10" s="5"/>
    </row>
    <row r="11" spans="1:9">
      <c r="A11" s="7">
        <v>2.69</v>
      </c>
      <c r="B11" s="8">
        <v>1.37</v>
      </c>
      <c r="C11" s="8">
        <f t="shared" si="0"/>
        <v>68.5</v>
      </c>
      <c r="D11" s="9">
        <v>72</v>
      </c>
      <c r="E11" s="5"/>
      <c r="F11" s="5"/>
      <c r="G11" s="5"/>
      <c r="H11" s="5"/>
      <c r="I11" s="5"/>
    </row>
    <row r="12" spans="1:9">
      <c r="A12" s="7">
        <v>2.61</v>
      </c>
      <c r="B12" s="8">
        <v>1.31</v>
      </c>
      <c r="C12" s="8">
        <f t="shared" si="0"/>
        <v>65.5</v>
      </c>
      <c r="D12" s="9">
        <v>80</v>
      </c>
      <c r="E12" s="5"/>
      <c r="F12" s="5"/>
      <c r="G12" s="5"/>
      <c r="H12" s="5"/>
      <c r="I12" s="5"/>
    </row>
    <row r="13" spans="1:9">
      <c r="A13" s="7">
        <v>2.5299999999999998</v>
      </c>
      <c r="B13" s="8">
        <v>1.19</v>
      </c>
      <c r="C13" s="8">
        <f t="shared" si="0"/>
        <v>59.5</v>
      </c>
      <c r="D13" s="9">
        <v>76</v>
      </c>
      <c r="E13" s="5"/>
      <c r="F13" s="5"/>
      <c r="G13" s="5"/>
      <c r="H13" s="5"/>
      <c r="I13" s="5"/>
    </row>
    <row r="14" spans="1:9">
      <c r="A14" s="7">
        <v>2.4500000000000002</v>
      </c>
      <c r="B14" s="8">
        <v>1.1299999999999999</v>
      </c>
      <c r="C14" s="8">
        <f t="shared" si="0"/>
        <v>56.499999999999993</v>
      </c>
      <c r="D14" s="9">
        <v>96</v>
      </c>
      <c r="E14" s="5"/>
      <c r="F14" s="5"/>
      <c r="G14" s="5"/>
      <c r="H14" s="5"/>
      <c r="I14" s="5"/>
    </row>
    <row r="15" spans="1:9">
      <c r="A15" s="7">
        <v>2.33</v>
      </c>
      <c r="B15" s="8">
        <v>1.03</v>
      </c>
      <c r="C15" s="8">
        <f t="shared" si="0"/>
        <v>51.500000000000007</v>
      </c>
      <c r="D15" s="9">
        <v>84</v>
      </c>
      <c r="E15" s="5"/>
      <c r="F15" s="5"/>
      <c r="G15" s="5"/>
      <c r="H15" s="5"/>
      <c r="I15" s="5"/>
    </row>
    <row r="16" spans="1:9">
      <c r="A16" s="7">
        <v>2.25</v>
      </c>
      <c r="B16" s="8">
        <v>0.94</v>
      </c>
      <c r="C16" s="8">
        <f t="shared" si="0"/>
        <v>47</v>
      </c>
      <c r="D16" s="9">
        <v>88</v>
      </c>
      <c r="E16" s="5"/>
      <c r="F16" s="5"/>
      <c r="G16" s="5"/>
      <c r="H16" s="5"/>
      <c r="I16" s="5"/>
    </row>
    <row r="17" spans="1:9">
      <c r="A17" s="7">
        <v>2.17</v>
      </c>
      <c r="B17" s="8">
        <v>0.88</v>
      </c>
      <c r="C17" s="8">
        <f t="shared" si="0"/>
        <v>44</v>
      </c>
      <c r="D17" s="9">
        <v>84</v>
      </c>
      <c r="E17" s="5"/>
      <c r="F17" s="5"/>
      <c r="G17" s="5"/>
      <c r="H17" s="5"/>
      <c r="I17" s="5"/>
    </row>
    <row r="18" spans="1:9">
      <c r="A18" s="7">
        <v>2.09</v>
      </c>
      <c r="B18" s="8">
        <v>0.78</v>
      </c>
      <c r="C18" s="8">
        <f t="shared" si="0"/>
        <v>39</v>
      </c>
      <c r="D18" s="9">
        <v>76</v>
      </c>
      <c r="E18" s="5"/>
      <c r="F18" s="5"/>
      <c r="G18" s="5"/>
      <c r="H18" s="5"/>
      <c r="I18" s="5"/>
    </row>
    <row r="19" spans="1:9">
      <c r="A19" s="7">
        <v>1.93</v>
      </c>
      <c r="B19" s="8">
        <v>0.62</v>
      </c>
      <c r="C19" s="8">
        <f t="shared" si="0"/>
        <v>31</v>
      </c>
      <c r="D19" s="9">
        <v>88</v>
      </c>
      <c r="E19" s="5"/>
      <c r="F19" s="5"/>
      <c r="G19" s="5"/>
      <c r="H19" s="5"/>
      <c r="I19" s="5"/>
    </row>
    <row r="20" spans="1:9">
      <c r="A20" s="7">
        <v>1.89</v>
      </c>
      <c r="B20" s="8">
        <v>0.54</v>
      </c>
      <c r="C20" s="8">
        <f t="shared" si="0"/>
        <v>27.000000000000004</v>
      </c>
      <c r="D20" s="9">
        <v>72</v>
      </c>
      <c r="E20" s="5"/>
      <c r="F20" s="5"/>
      <c r="G20" s="5"/>
      <c r="H20" s="5"/>
      <c r="I20" s="5"/>
    </row>
    <row r="21" spans="1:9">
      <c r="A21" s="7">
        <v>1.81</v>
      </c>
      <c r="B21" s="8">
        <v>0.46</v>
      </c>
      <c r="C21" s="8">
        <f t="shared" si="0"/>
        <v>23</v>
      </c>
      <c r="D21" s="9">
        <v>72</v>
      </c>
      <c r="E21" s="5"/>
      <c r="F21" s="5"/>
      <c r="G21" s="5"/>
      <c r="H21" s="5"/>
      <c r="I21" s="5"/>
    </row>
    <row r="22" spans="1:9">
      <c r="A22" s="7">
        <v>1.65</v>
      </c>
      <c r="B22" s="8">
        <v>0.38</v>
      </c>
      <c r="C22" s="8">
        <f t="shared" si="0"/>
        <v>19</v>
      </c>
      <c r="D22" s="9">
        <v>68</v>
      </c>
      <c r="E22" s="5"/>
      <c r="F22" s="5"/>
      <c r="G22" s="5"/>
      <c r="H22" s="5"/>
      <c r="I22" s="5"/>
    </row>
    <row r="23" spans="1:9">
      <c r="A23" s="7">
        <v>1.61</v>
      </c>
      <c r="B23" s="8">
        <v>0.28000000000000003</v>
      </c>
      <c r="C23" s="8">
        <f t="shared" si="0"/>
        <v>14.000000000000002</v>
      </c>
      <c r="D23" s="9">
        <v>60</v>
      </c>
      <c r="E23" s="5"/>
      <c r="F23" s="5"/>
      <c r="G23" s="5"/>
      <c r="H23" s="5"/>
      <c r="I23" s="5"/>
    </row>
    <row r="24" spans="1:9">
      <c r="A24" s="7">
        <v>1.29</v>
      </c>
      <c r="B24" s="8">
        <v>0.18</v>
      </c>
      <c r="C24" s="8">
        <f t="shared" si="0"/>
        <v>9</v>
      </c>
      <c r="D24" s="9">
        <v>68</v>
      </c>
      <c r="E24" s="5"/>
      <c r="F24" s="5"/>
      <c r="G24" s="5"/>
      <c r="H24" s="5"/>
      <c r="I24" s="5"/>
    </row>
    <row r="25" spans="1:9">
      <c r="A25" s="7">
        <v>1.05</v>
      </c>
      <c r="B25" s="8">
        <v>0.12</v>
      </c>
      <c r="C25" s="8">
        <f t="shared" si="0"/>
        <v>6</v>
      </c>
      <c r="D25" s="9">
        <v>64</v>
      </c>
      <c r="E25" s="5"/>
      <c r="F25" s="5"/>
      <c r="G25" s="5"/>
      <c r="H25" s="5"/>
      <c r="I25" s="5"/>
    </row>
    <row r="26" spans="1:9">
      <c r="A26" s="10">
        <v>0.72</v>
      </c>
      <c r="B26" s="11">
        <v>0.08</v>
      </c>
      <c r="C26" s="11">
        <f t="shared" si="0"/>
        <v>4</v>
      </c>
      <c r="D26" s="12">
        <v>60</v>
      </c>
      <c r="E26" s="5"/>
      <c r="F26" s="5"/>
      <c r="G26" s="5"/>
      <c r="H26" s="5"/>
      <c r="I26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1FCD-BD75-4555-8AEA-45BDA52510D1}">
  <dimension ref="A1:D3"/>
  <sheetViews>
    <sheetView zoomScale="150" zoomScaleNormal="150" workbookViewId="0">
      <selection activeCell="B6" sqref="B6"/>
    </sheetView>
  </sheetViews>
  <sheetFormatPr baseColWidth="10" defaultColWidth="8.83203125" defaultRowHeight="16"/>
  <cols>
    <col min="1" max="1" width="16.5" customWidth="1"/>
    <col min="2" max="2" width="23.33203125" customWidth="1"/>
    <col min="3" max="3" width="16" customWidth="1"/>
    <col min="4" max="4" width="17.1640625" customWidth="1"/>
  </cols>
  <sheetData>
    <row r="1" spans="1:4">
      <c r="A1" s="13" t="s">
        <v>8</v>
      </c>
      <c r="B1" s="13" t="s">
        <v>9</v>
      </c>
      <c r="C1" s="13" t="s">
        <v>10</v>
      </c>
      <c r="D1" s="13" t="s">
        <v>11</v>
      </c>
    </row>
    <row r="2" spans="1:4">
      <c r="A2" s="13">
        <v>17.63</v>
      </c>
      <c r="B2" s="13">
        <v>1.5565</v>
      </c>
      <c r="C2" s="13">
        <v>4.8999999999999998E-3</v>
      </c>
      <c r="D2" s="13">
        <v>1.2050000000000001</v>
      </c>
    </row>
    <row r="3" spans="1:4">
      <c r="A3" s="13">
        <v>13.02</v>
      </c>
      <c r="B3" s="13">
        <v>1.5547</v>
      </c>
      <c r="C3" s="13">
        <v>2.5399999999999999E-2</v>
      </c>
      <c r="D3" s="13">
        <v>1.2050000000000001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 Jiang</dc:creator>
  <cp:lastModifiedBy>O. Jiang</cp:lastModifiedBy>
  <dcterms:created xsi:type="dcterms:W3CDTF">2026-02-04T11:19:00Z</dcterms:created>
  <dcterms:modified xsi:type="dcterms:W3CDTF">2026-02-12T16:50:44Z</dcterms:modified>
</cp:coreProperties>
</file>