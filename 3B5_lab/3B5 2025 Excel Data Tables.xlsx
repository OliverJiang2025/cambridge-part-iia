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gqingjiang/Desktop/Part IIA/Coursework/3B5_lab/"/>
    </mc:Choice>
  </mc:AlternateContent>
  <xr:revisionPtr revIDLastSave="0" documentId="13_ncr:1_{A8995F85-85D3-4846-A16A-A24C40228D7D}" xr6:coauthVersionLast="47" xr6:coauthVersionMax="47" xr10:uidLastSave="{00000000-0000-0000-0000-000000000000}"/>
  <bookViews>
    <workbookView xWindow="-20" yWindow="680" windowWidth="29400" windowHeight="17220" activeTab="2" xr2:uid="{743B6A30-7D1E-4E53-9B73-205143DEE491}"/>
  </bookViews>
  <sheets>
    <sheet name="Experiment 1" sheetId="1" r:id="rId1"/>
    <sheet name="Experiment 2A" sheetId="2" r:id="rId2"/>
    <sheet name="Experiment 2B" sheetId="3" r:id="rId3"/>
    <sheet name="Experiment 2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" i="3" l="1"/>
  <c r="G9" i="3"/>
  <c r="G10" i="3"/>
  <c r="G11" i="3"/>
  <c r="G12" i="3"/>
  <c r="G13" i="3"/>
  <c r="G14" i="3"/>
  <c r="G7" i="3"/>
  <c r="D8" i="3"/>
  <c r="D9" i="3"/>
  <c r="D10" i="3"/>
  <c r="D11" i="3"/>
  <c r="D12" i="3"/>
  <c r="D13" i="3"/>
  <c r="D14" i="3"/>
  <c r="D7" i="3"/>
  <c r="C10" i="1"/>
  <c r="C11" i="1"/>
  <c r="C12" i="1"/>
  <c r="C13" i="1"/>
  <c r="C14" i="1"/>
  <c r="C15" i="1"/>
  <c r="C16" i="1"/>
  <c r="C9" i="1"/>
  <c r="E10" i="1"/>
  <c r="E11" i="1"/>
  <c r="E12" i="1"/>
  <c r="E13" i="1"/>
  <c r="E14" i="1"/>
  <c r="E15" i="1"/>
  <c r="E16" i="1"/>
  <c r="E9" i="1"/>
  <c r="B21" i="1" l="1" a="1"/>
  <c r="B21" i="1" s="1"/>
  <c r="G5" i="2"/>
  <c r="G6" i="2"/>
  <c r="G7" i="2"/>
  <c r="G8" i="2"/>
  <c r="G9" i="2"/>
  <c r="G10" i="2"/>
  <c r="G11" i="2"/>
  <c r="G12" i="2"/>
  <c r="G4" i="2"/>
  <c r="D4" i="2"/>
  <c r="D5" i="2"/>
  <c r="D6" i="2"/>
  <c r="D7" i="2"/>
  <c r="D8" i="2"/>
  <c r="D9" i="2"/>
  <c r="D10" i="2"/>
  <c r="D11" i="2"/>
  <c r="D12" i="2"/>
  <c r="J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<sst xmlns="http://schemas.openxmlformats.org/spreadsheetml/2006/main" count="112" uniqueCount="78">
  <si>
    <t>10 pf as</t>
  </si>
  <si>
    <r>
      <t xml:space="preserve">measured on bridge </t>
    </r>
    <r>
      <rPr>
        <sz val="12"/>
        <color theme="1"/>
        <rFont val="Symbol"/>
        <family val="1"/>
        <charset val="2"/>
      </rPr>
      <t xml:space="preserve">¯ </t>
    </r>
  </si>
  <si>
    <r>
      <t>Take V</t>
    </r>
    <r>
      <rPr>
        <vertAlign val="sub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= 0.5 V</t>
    </r>
  </si>
  <si>
    <t xml:space="preserve">Measured Frequency [kHz] </t>
  </si>
  <si>
    <r>
      <t>C</t>
    </r>
    <r>
      <rPr>
        <i/>
        <vertAlign val="subscript"/>
        <sz val="10"/>
        <color theme="1"/>
        <rFont val="Times New Roman"/>
        <family val="1"/>
      </rPr>
      <t>r</t>
    </r>
    <r>
      <rPr>
        <vertAlign val="superscript"/>
        <sz val="10"/>
        <color theme="1"/>
        <rFont val="Times New Roman"/>
        <family val="1"/>
      </rPr>
      <t xml:space="preserve">  </t>
    </r>
    <r>
      <rPr>
        <sz val="10"/>
        <color theme="1"/>
        <rFont val="Times New Roman"/>
        <family val="1"/>
      </rPr>
      <t>is  C</t>
    </r>
    <r>
      <rPr>
        <vertAlign val="subscript"/>
        <sz val="10"/>
        <color theme="1"/>
        <rFont val="Times New Roman"/>
        <family val="1"/>
      </rPr>
      <t>SBD</t>
    </r>
    <r>
      <rPr>
        <sz val="10"/>
        <color theme="1"/>
        <rFont val="Times New Roman"/>
        <family val="1"/>
      </rPr>
      <t xml:space="preserve"> corresponding to f</t>
    </r>
    <r>
      <rPr>
        <vertAlign val="subscript"/>
        <sz val="10"/>
        <color theme="1"/>
        <rFont val="Times New Roman"/>
        <family val="1"/>
      </rPr>
      <t>r</t>
    </r>
  </si>
  <si>
    <r>
      <t>(+ 10pf) V</t>
    </r>
    <r>
      <rPr>
        <vertAlign val="subscript"/>
        <sz val="10"/>
        <color theme="1"/>
        <rFont val="Times New Roman"/>
        <family val="1"/>
      </rPr>
      <t>rev   none</t>
    </r>
  </si>
  <si>
    <r>
      <t>C</t>
    </r>
    <r>
      <rPr>
        <vertAlign val="subscript"/>
        <sz val="10"/>
        <color theme="1"/>
        <rFont val="Times New Roman"/>
        <family val="1"/>
      </rPr>
      <t>10</t>
    </r>
    <r>
      <rPr>
        <sz val="10"/>
        <color theme="1"/>
        <rFont val="Times New Roman"/>
        <family val="1"/>
      </rPr>
      <t>/[(</t>
    </r>
    <r>
      <rPr>
        <i/>
        <sz val="10"/>
        <color theme="1"/>
        <rFont val="Times New Roman"/>
        <family val="1"/>
      </rPr>
      <t>f</t>
    </r>
    <r>
      <rPr>
        <i/>
        <vertAlign val="subscript"/>
        <sz val="10"/>
        <color theme="1"/>
        <rFont val="Times New Roman"/>
        <family val="1"/>
      </rPr>
      <t>0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10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) –1] =</t>
    </r>
  </si>
  <si>
    <r>
      <t xml:space="preserve">  </t>
    </r>
    <r>
      <rPr>
        <sz val="10"/>
        <color theme="1"/>
        <rFont val="Symbol"/>
        <family val="1"/>
        <charset val="2"/>
      </rPr>
      <t>¯</t>
    </r>
  </si>
  <si>
    <t>(+ 0 pf)</t>
  </si>
  <si>
    <r>
      <t>V</t>
    </r>
    <r>
      <rPr>
        <vertAlign val="subscript"/>
        <sz val="10"/>
        <color theme="1"/>
        <rFont val="Times New Roman"/>
        <family val="1"/>
      </rPr>
      <t>rev   none</t>
    </r>
  </si>
  <si>
    <t>Suggested</t>
  </si>
  <si>
    <t>Measured</t>
  </si>
  <si>
    <t>–12.0</t>
  </si>
  <si>
    <t>–8.0</t>
  </si>
  <si>
    <t>–5.0</t>
  </si>
  <si>
    <t>–4.0</t>
  </si>
  <si>
    <t>–3.0</t>
  </si>
  <si>
    <t>–2.0</t>
  </si>
  <si>
    <t>–1.5</t>
  </si>
  <si>
    <t>–1.0</t>
  </si>
  <si>
    <r>
      <t>V</t>
    </r>
    <r>
      <rPr>
        <i/>
        <vertAlign val="subscript"/>
        <sz val="14"/>
        <color theme="1"/>
        <rFont val="Times New Roman"/>
        <family val="1"/>
      </rPr>
      <t>Reverse</t>
    </r>
    <r>
      <rPr>
        <vertAlign val="subscript"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[V]</t>
    </r>
  </si>
  <si>
    <t>SBD</t>
  </si>
  <si>
    <r>
      <t>Measured</t>
    </r>
    <r>
      <rPr>
        <i/>
        <sz val="14"/>
        <color rgb="FF000000"/>
        <rFont val="Times New Roman"/>
        <family val="1"/>
      </rPr>
      <t xml:space="preserve"> SBD  </t>
    </r>
  </si>
  <si>
    <r>
      <t xml:space="preserve">       I</t>
    </r>
    <r>
      <rPr>
        <i/>
        <vertAlign val="subscript"/>
        <sz val="14"/>
        <color rgb="FF000000"/>
        <rFont val="Times New Roman"/>
        <family val="1"/>
      </rPr>
      <t>Rev</t>
    </r>
    <r>
      <rPr>
        <i/>
        <sz val="14"/>
        <color rgb="FF00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>[</t>
    </r>
    <r>
      <rPr>
        <sz val="14"/>
        <color rgb="FF000000"/>
        <rFont val="Symbol"/>
        <family val="1"/>
        <charset val="2"/>
      </rPr>
      <t>mA]</t>
    </r>
  </si>
  <si>
    <t>p-n</t>
  </si>
  <si>
    <t>p-n diode</t>
  </si>
  <si>
    <r>
      <t xml:space="preserve">    I</t>
    </r>
    <r>
      <rPr>
        <i/>
        <vertAlign val="subscript"/>
        <sz val="14"/>
        <color rgb="FF000000"/>
        <rFont val="Times New Roman"/>
        <family val="1"/>
      </rPr>
      <t>Rev</t>
    </r>
    <r>
      <rPr>
        <i/>
        <sz val="14"/>
        <color rgb="FF00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>[</t>
    </r>
    <r>
      <rPr>
        <sz val="14"/>
        <color rgb="FF000000"/>
        <rFont val="Symbol"/>
        <family val="1"/>
        <charset val="2"/>
      </rPr>
      <t>mA]</t>
    </r>
  </si>
  <si>
    <t>–0.25</t>
  </si>
  <si>
    <t>–0.50</t>
  </si>
  <si>
    <t>–6.0</t>
  </si>
  <si>
    <t>–10.0</t>
  </si>
  <si>
    <t>SBD current</t>
  </si>
  <si>
    <t>SBD forward</t>
  </si>
  <si>
    <t>voltage</t>
  </si>
  <si>
    <t>current</t>
  </si>
  <si>
    <t>forward</t>
  </si>
  <si>
    <r>
      <t>I</t>
    </r>
    <r>
      <rPr>
        <vertAlign val="subscript"/>
        <sz val="10"/>
        <color theme="1"/>
        <rFont val="Times New Roman"/>
        <family val="1"/>
      </rPr>
      <t>forward</t>
    </r>
  </si>
  <si>
    <r>
      <t>[</t>
    </r>
    <r>
      <rPr>
        <sz val="10"/>
        <color theme="1"/>
        <rFont val="Symbol"/>
        <family val="1"/>
        <charset val="2"/>
      </rPr>
      <t>m</t>
    </r>
    <r>
      <rPr>
        <sz val="10"/>
        <color theme="1"/>
        <rFont val="Times New Roman"/>
        <family val="1"/>
      </rPr>
      <t>A]</t>
    </r>
  </si>
  <si>
    <r>
      <t>I</t>
    </r>
    <r>
      <rPr>
        <vertAlign val="subscript"/>
        <sz val="10"/>
        <color rgb="FF000000"/>
        <rFont val="Times New Roman"/>
        <family val="1"/>
      </rPr>
      <t xml:space="preserve">forward 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Symbol"/>
        <family val="1"/>
        <charset val="2"/>
      </rPr>
      <t>m</t>
    </r>
    <r>
      <rPr>
        <sz val="10"/>
        <color rgb="FF000000"/>
        <rFont val="Times New Roman"/>
        <family val="1"/>
      </rPr>
      <t>A]</t>
    </r>
  </si>
  <si>
    <r>
      <t>V</t>
    </r>
    <r>
      <rPr>
        <vertAlign val="subscript"/>
        <sz val="10"/>
        <color rgb="FF000000"/>
        <rFont val="Times New Roman"/>
        <family val="1"/>
      </rPr>
      <t xml:space="preserve">forward </t>
    </r>
    <r>
      <rPr>
        <sz val="10"/>
        <color rgb="FF000000"/>
        <rFont val="Times New Roman"/>
        <family val="1"/>
      </rPr>
      <t>[V]</t>
    </r>
  </si>
  <si>
    <r>
      <t>ln</t>
    </r>
    <r>
      <rPr>
        <sz val="12"/>
        <color theme="1"/>
        <rFont val="Times New Roman"/>
        <family val="1"/>
      </rPr>
      <t>[(I/I</t>
    </r>
    <r>
      <rPr>
        <vertAlign val="subscript"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)+1]</t>
    </r>
  </si>
  <si>
    <t>[mA]</t>
  </si>
  <si>
    <r>
      <t>I</t>
    </r>
    <r>
      <rPr>
        <vertAlign val="subscript"/>
        <sz val="10"/>
        <color rgb="FF000000"/>
        <rFont val="Times New Roman"/>
        <family val="1"/>
      </rPr>
      <t xml:space="preserve">forward </t>
    </r>
    <r>
      <rPr>
        <sz val="10"/>
        <color rgb="FF000000"/>
        <rFont val="Times New Roman"/>
        <family val="1"/>
      </rPr>
      <t>[mA]</t>
    </r>
  </si>
  <si>
    <r>
      <t>V</t>
    </r>
    <r>
      <rPr>
        <i/>
        <vertAlign val="subscript"/>
        <sz val="14"/>
        <color theme="1"/>
        <rFont val="Times New Roman"/>
        <family val="1"/>
      </rPr>
      <t>Reverse</t>
    </r>
    <r>
      <rPr>
        <i/>
        <sz val="14"/>
        <color theme="1"/>
        <rFont val="Times New Roman"/>
        <family val="1"/>
      </rPr>
      <t xml:space="preserve"> [V]</t>
    </r>
  </si>
  <si>
    <r>
      <t>V</t>
    </r>
    <r>
      <rPr>
        <i/>
        <vertAlign val="subscript"/>
        <sz val="14"/>
        <color rgb="FF000000"/>
        <rFont val="Times New Roman"/>
        <family val="1"/>
      </rPr>
      <t>Reverse</t>
    </r>
    <r>
      <rPr>
        <vertAlign val="subscript"/>
        <sz val="14"/>
        <color rgb="FF00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>[mV]</t>
    </r>
  </si>
  <si>
    <t>Value</t>
  </si>
  <si>
    <r>
      <t>C</t>
    </r>
    <r>
      <rPr>
        <vertAlign val="subscript"/>
        <sz val="11"/>
        <color theme="1"/>
        <rFont val="Times New Roman"/>
        <family val="1"/>
      </rPr>
      <t xml:space="preserve">10 </t>
    </r>
    <r>
      <rPr>
        <sz val="11"/>
        <color theme="1"/>
        <rFont val="Times New Roman"/>
        <family val="1"/>
      </rPr>
      <t>[pF]</t>
    </r>
  </si>
  <si>
    <r>
      <t>f</t>
    </r>
    <r>
      <rPr>
        <i/>
        <vertAlign val="subscript"/>
        <sz val="11"/>
        <color theme="1"/>
        <rFont val="Times New Roman"/>
        <family val="1"/>
      </rPr>
      <t>10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[kHz]</t>
    </r>
  </si>
  <si>
    <r>
      <t>f</t>
    </r>
    <r>
      <rPr>
        <i/>
        <vertAlign val="subscript"/>
        <sz val="11"/>
        <color theme="1"/>
        <rFont val="Times New Roman"/>
        <family val="1"/>
      </rPr>
      <t>0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[kHz]</t>
    </r>
  </si>
  <si>
    <r>
      <t>C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[pF]</t>
    </r>
  </si>
  <si>
    <t>Variable</t>
  </si>
  <si>
    <r>
      <t>(V</t>
    </r>
    <r>
      <rPr>
        <b/>
        <i/>
        <vertAlign val="sub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–V</t>
    </r>
    <r>
      <rPr>
        <b/>
        <vertAlign val="subscript"/>
        <sz val="12"/>
        <color theme="1"/>
        <rFont val="Times New Roman"/>
        <family val="1"/>
      </rPr>
      <t>rev</t>
    </r>
    <r>
      <rPr>
        <b/>
        <sz val="12"/>
        <color theme="1"/>
        <rFont val="Times New Roman"/>
        <family val="1"/>
      </rPr>
      <t>)</t>
    </r>
    <r>
      <rPr>
        <b/>
        <vertAlign val="superscript"/>
        <sz val="12"/>
        <color theme="1"/>
        <rFont val="Times New Roman"/>
        <family val="1"/>
      </rPr>
      <t xml:space="preserve">–½ </t>
    </r>
  </si>
  <si>
    <r>
      <t>C</t>
    </r>
    <r>
      <rPr>
        <b/>
        <vertAlign val="subscript"/>
        <sz val="10"/>
        <color theme="1"/>
        <rFont val="Times New Roman"/>
        <family val="1"/>
      </rPr>
      <t>o</t>
    </r>
    <r>
      <rPr>
        <b/>
        <sz val="10"/>
        <color theme="1"/>
        <rFont val="Times New Roman"/>
        <family val="1"/>
      </rPr>
      <t xml:space="preserve"> [(</t>
    </r>
    <r>
      <rPr>
        <b/>
        <i/>
        <sz val="10"/>
        <color theme="1"/>
        <rFont val="Times New Roman"/>
        <family val="1"/>
      </rPr>
      <t>f</t>
    </r>
    <r>
      <rPr>
        <b/>
        <i/>
        <vertAlign val="subscript"/>
        <sz val="10"/>
        <color theme="1"/>
        <rFont val="Times New Roman"/>
        <family val="1"/>
      </rPr>
      <t>0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/</t>
    </r>
    <r>
      <rPr>
        <b/>
        <i/>
        <sz val="10"/>
        <color theme="1"/>
        <rFont val="Times New Roman"/>
        <family val="1"/>
      </rPr>
      <t>f</t>
    </r>
    <r>
      <rPr>
        <b/>
        <vertAlign val="subscript"/>
        <sz val="10"/>
        <color theme="1"/>
        <rFont val="Times New Roman"/>
        <family val="1"/>
      </rPr>
      <t>r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) –1]</t>
    </r>
  </si>
  <si>
    <r>
      <t>V</t>
    </r>
    <r>
      <rPr>
        <b/>
        <vertAlign val="subscript"/>
        <sz val="10"/>
        <color theme="1"/>
        <rFont val="Times New Roman"/>
        <family val="1"/>
      </rPr>
      <t xml:space="preserve">rev </t>
    </r>
    <r>
      <rPr>
        <b/>
        <sz val="10"/>
        <color theme="1"/>
        <rFont val="Times New Roman"/>
        <family val="1"/>
      </rPr>
      <t>[V]</t>
    </r>
  </si>
  <si>
    <r>
      <t>V</t>
    </r>
    <r>
      <rPr>
        <b/>
        <vertAlign val="subscript"/>
        <sz val="10"/>
        <color rgb="FF000000"/>
        <rFont val="Times New Roman"/>
        <family val="1"/>
      </rPr>
      <t xml:space="preserve">rev     </t>
    </r>
    <r>
      <rPr>
        <b/>
        <sz val="10"/>
        <color rgb="FF000000"/>
        <rFont val="Times New Roman"/>
        <family val="1"/>
      </rPr>
      <t>[V]</t>
    </r>
    <r>
      <rPr>
        <b/>
        <sz val="10"/>
        <color rgb="FF000000"/>
        <rFont val="Symbol"/>
        <family val="1"/>
        <charset val="2"/>
      </rPr>
      <t xml:space="preserve"> ¯</t>
    </r>
  </si>
  <si>
    <r>
      <t xml:space="preserve">     </t>
    </r>
    <r>
      <rPr>
        <b/>
        <sz val="12"/>
        <color theme="1"/>
        <rFont val="Times New Roman"/>
        <family val="1"/>
      </rPr>
      <t>[V</t>
    </r>
    <r>
      <rPr>
        <b/>
        <vertAlign val="superscript"/>
        <sz val="12"/>
        <color theme="1"/>
        <rFont val="Times New Roman"/>
        <family val="1"/>
      </rPr>
      <t>–½</t>
    </r>
    <r>
      <rPr>
        <b/>
        <sz val="12"/>
        <color theme="1"/>
        <rFont val="Times New Roman"/>
        <family val="1"/>
      </rPr>
      <t xml:space="preserve">]           </t>
    </r>
    <r>
      <rPr>
        <b/>
        <sz val="12"/>
        <color theme="1"/>
        <rFont val="Symbol"/>
        <family val="1"/>
        <charset val="2"/>
      </rPr>
      <t>¯</t>
    </r>
  </si>
  <si>
    <r>
      <t>f</t>
    </r>
    <r>
      <rPr>
        <b/>
        <i/>
        <vertAlign val="subscript"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=    </t>
    </r>
    <r>
      <rPr>
        <b/>
        <sz val="10"/>
        <color rgb="FF000000"/>
        <rFont val="Symbol"/>
        <family val="1"/>
        <charset val="2"/>
      </rPr>
      <t>¯</t>
    </r>
  </si>
  <si>
    <r>
      <t xml:space="preserve">           =  </t>
    </r>
    <r>
      <rPr>
        <b/>
        <i/>
        <sz val="10"/>
        <color theme="1"/>
        <rFont val="Times New Roman"/>
        <family val="1"/>
      </rPr>
      <t>C</t>
    </r>
    <r>
      <rPr>
        <b/>
        <i/>
        <vertAlign val="subscript"/>
        <sz val="10"/>
        <color theme="1"/>
        <rFont val="Times New Roman"/>
        <family val="1"/>
      </rPr>
      <t>r</t>
    </r>
    <r>
      <rPr>
        <b/>
        <sz val="10"/>
        <color theme="1"/>
        <rFont val="Symbol"/>
        <family val="1"/>
        <charset val="2"/>
      </rPr>
      <t xml:space="preserve">    ¯ </t>
    </r>
  </si>
  <si>
    <t>Linest function:</t>
  </si>
  <si>
    <t>Slope</t>
  </si>
  <si>
    <t>Y-intercept</t>
  </si>
  <si>
    <r>
      <t>R</t>
    </r>
    <r>
      <rPr>
        <b/>
        <vertAlign val="superscript"/>
        <sz val="11"/>
        <color theme="1"/>
        <rFont val="等线"/>
        <family val="2"/>
        <scheme val="minor"/>
      </rPr>
      <t>2</t>
    </r>
  </si>
  <si>
    <t>Std deviation of slope</t>
  </si>
  <si>
    <t>Std deviation of Y-intercept</t>
  </si>
  <si>
    <t>SBD (voltage drop at the resistor when SBD connected)</t>
  </si>
  <si>
    <t>p-n ((voltage drop at the resistor when p-n diode connected)</t>
  </si>
  <si>
    <t xml:space="preserve">   [pF]  </t>
    <phoneticPr fontId="50" type="noConversion"/>
  </si>
  <si>
    <t>–1.0</t>
    <phoneticPr fontId="50" type="noConversion"/>
  </si>
  <si>
    <r>
      <t>f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 xml:space="preserve">= </t>
    </r>
    <r>
      <rPr>
        <i/>
        <sz val="10"/>
        <color rgb="FF000000"/>
        <rFont val="Times New Roman"/>
        <family val="1"/>
      </rPr>
      <t xml:space="preserve"> 1467.4</t>
    </r>
    <phoneticPr fontId="50" type="noConversion"/>
  </si>
  <si>
    <r>
      <t>f</t>
    </r>
    <r>
      <rPr>
        <vertAlign val="subscript"/>
        <sz val="10"/>
        <color rgb="FF000000"/>
        <rFont val="Times New Roman"/>
        <family val="1"/>
      </rPr>
      <t>0</t>
    </r>
    <r>
      <rPr>
        <sz val="10"/>
        <color rgb="FF000000"/>
        <rFont val="Times New Roman"/>
        <family val="1"/>
      </rPr>
      <t xml:space="preserve">= </t>
    </r>
    <r>
      <rPr>
        <i/>
        <sz val="10"/>
        <color rgb="FF000000"/>
        <rFont val="Times New Roman"/>
        <family val="1"/>
      </rPr>
      <t>1629.9</t>
    </r>
    <phoneticPr fontId="50" type="noConversion"/>
  </si>
  <si>
    <r>
      <t>C</t>
    </r>
    <r>
      <rPr>
        <vertAlign val="subscript"/>
        <sz val="10"/>
        <color theme="1"/>
        <rFont val="Times New Roman"/>
        <family val="1"/>
      </rPr>
      <t xml:space="preserve">o </t>
    </r>
    <r>
      <rPr>
        <sz val="10"/>
        <color theme="1"/>
        <rFont val="Times New Roman"/>
        <family val="1"/>
      </rPr>
      <t>= 44.83546</t>
    </r>
    <phoneticPr fontId="50" type="noConversion"/>
  </si>
  <si>
    <r>
      <t>C</t>
    </r>
    <r>
      <rPr>
        <vertAlign val="subscript"/>
        <sz val="10"/>
        <color rgb="FF000000"/>
        <rFont val="Times New Roman"/>
        <family val="1"/>
      </rPr>
      <t xml:space="preserve">10 </t>
    </r>
    <r>
      <rPr>
        <sz val="10"/>
        <color rgb="FF000000"/>
        <rFont val="Times New Roman"/>
        <family val="1"/>
      </rPr>
      <t>= 10.48</t>
    </r>
    <phoneticPr fontId="50" type="noConversion"/>
  </si>
  <si>
    <t>when touching the diode</t>
    <phoneticPr fontId="50" type="noConversion"/>
  </si>
  <si>
    <t>increase</t>
    <phoneticPr fontId="50" type="noConversion"/>
  </si>
  <si>
    <t>decrease</t>
    <phoneticPr fontId="50" type="noConversion"/>
  </si>
  <si>
    <t>p-n current</t>
    <phoneticPr fontId="50" type="noConversion"/>
  </si>
  <si>
    <t>p-n forward voltage</t>
    <phoneticPr fontId="50" type="noConversion"/>
  </si>
  <si>
    <t>I_s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</si>
</sst>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Symbol"/>
      <family val="1"/>
      <charset val="2"/>
    </font>
    <font>
      <vertAlign val="subscript"/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theme="1"/>
      <name val="Symbol"/>
      <family val="1"/>
      <charset val="2"/>
    </font>
    <font>
      <sz val="10"/>
      <color rgb="FF000000"/>
      <name val="Symbol"/>
      <family val="1"/>
      <charset val="2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i/>
      <vertAlign val="subscript"/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i/>
      <vertAlign val="subscript"/>
      <sz val="14"/>
      <color rgb="FF000000"/>
      <name val="Times New Roman"/>
      <family val="1"/>
    </font>
    <font>
      <vertAlign val="subscript"/>
      <sz val="14"/>
      <color rgb="FF000000"/>
      <name val="Times New Roman"/>
      <family val="1"/>
    </font>
    <font>
      <sz val="14"/>
      <color rgb="FF000000"/>
      <name val="Symbol"/>
      <family val="1"/>
      <charset val="2"/>
    </font>
    <font>
      <sz val="12"/>
      <color rgb="FF000000"/>
      <name val="Times New Roman"/>
      <family val="1"/>
    </font>
    <font>
      <sz val="18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vertAlign val="subscript"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vertAlign val="subscript"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vertAlign val="subscript"/>
      <sz val="10"/>
      <color rgb="FF000000"/>
      <name val="Times New Roman"/>
      <family val="1"/>
    </font>
    <font>
      <b/>
      <sz val="10"/>
      <color rgb="FF000000"/>
      <name val="Symbol"/>
      <family val="1"/>
      <charset val="2"/>
    </font>
    <font>
      <b/>
      <sz val="12"/>
      <color theme="1"/>
      <name val="Symbol"/>
      <family val="1"/>
      <charset val="2"/>
    </font>
    <font>
      <b/>
      <i/>
      <sz val="10"/>
      <color rgb="FF000000"/>
      <name val="Times New Roman"/>
      <family val="1"/>
    </font>
    <font>
      <b/>
      <i/>
      <vertAlign val="subscript"/>
      <sz val="10"/>
      <color rgb="FF000000"/>
      <name val="Times New Roman"/>
      <family val="1"/>
    </font>
    <font>
      <b/>
      <sz val="10"/>
      <color theme="1"/>
      <name val="Symbol"/>
      <family val="1"/>
      <charset val="2"/>
    </font>
    <font>
      <b/>
      <vertAlign val="superscript"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gray0625">
        <bgColor rgb="FFF2F2F2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2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top" wrapText="1"/>
    </xf>
    <xf numFmtId="0" fontId="26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28" fillId="0" borderId="0" xfId="0" applyFont="1"/>
    <xf numFmtId="0" fontId="32" fillId="4" borderId="0" xfId="0" applyFont="1" applyFill="1" applyAlignment="1">
      <alignment horizontal="center"/>
    </xf>
    <xf numFmtId="0" fontId="28" fillId="5" borderId="0" xfId="0" applyFont="1" applyFill="1" applyAlignment="1">
      <alignment horizontal="center"/>
    </xf>
    <xf numFmtId="0" fontId="3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46" fillId="5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Capacitance-voltage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012179433564828E-2"/>
                  <c:y val="-0.10724949038730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'Experiment 1'!$C$9:$C$16</c:f>
              <c:numCache>
                <c:formatCode>General</c:formatCode>
                <c:ptCount val="8"/>
                <c:pt idx="0">
                  <c:v>0.28341010063256789</c:v>
                </c:pt>
                <c:pt idx="1">
                  <c:v>0.34199278402838473</c:v>
                </c:pt>
                <c:pt idx="2">
                  <c:v>0.426014322842305</c:v>
                </c:pt>
                <c:pt idx="3">
                  <c:v>0.46958190604292949</c:v>
                </c:pt>
                <c:pt idx="4">
                  <c:v>0.53089446123883222</c:v>
                </c:pt>
                <c:pt idx="5">
                  <c:v>0.62585624856667921</c:v>
                </c:pt>
                <c:pt idx="6">
                  <c:v>0.7099522928088311</c:v>
                </c:pt>
                <c:pt idx="7">
                  <c:v>0.81704145691825059</c:v>
                </c:pt>
              </c:numCache>
            </c:numRef>
          </c:xVal>
          <c:yVal>
            <c:numRef>
              <c:f>'Experiment 1'!$E$9:$E$16</c:f>
              <c:numCache>
                <c:formatCode>General</c:formatCode>
                <c:ptCount val="8"/>
                <c:pt idx="0">
                  <c:v>4.3201127862242226</c:v>
                </c:pt>
                <c:pt idx="1">
                  <c:v>4.6202097069117638</c:v>
                </c:pt>
                <c:pt idx="2">
                  <c:v>5.0634528712209308</c:v>
                </c:pt>
                <c:pt idx="3">
                  <c:v>5.3002557416127924</c:v>
                </c:pt>
                <c:pt idx="4">
                  <c:v>5.6610333231278256</c:v>
                </c:pt>
                <c:pt idx="5">
                  <c:v>6.2617817169419787</c:v>
                </c:pt>
                <c:pt idx="6">
                  <c:v>6.8581227759714602</c:v>
                </c:pt>
                <c:pt idx="7">
                  <c:v>7.6901252857351201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9-42F9-B2BF-E001247CB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257151"/>
        <c:axId val="1535159439"/>
      </c:scatterChart>
      <c:valAx>
        <c:axId val="142325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59439"/>
        <c:crosses val="autoZero"/>
        <c:crossBetween val="midCat"/>
      </c:valAx>
      <c:valAx>
        <c:axId val="153515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5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Current-voltage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SBD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390638670166227E-2"/>
                  <c:y val="0.16104549431321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'Experiment 2A'!$B$4:$B$12</c:f>
              <c:numCache>
                <c:formatCode>General</c:formatCode>
                <c:ptCount val="9"/>
                <c:pt idx="0">
                  <c:v>0.25040000000000001</c:v>
                </c:pt>
                <c:pt idx="1">
                  <c:v>0.50090000000000001</c:v>
                </c:pt>
                <c:pt idx="2">
                  <c:v>1.002</c:v>
                </c:pt>
                <c:pt idx="3">
                  <c:v>2.004</c:v>
                </c:pt>
                <c:pt idx="4">
                  <c:v>4.0039999999999996</c:v>
                </c:pt>
                <c:pt idx="5">
                  <c:v>6.032</c:v>
                </c:pt>
                <c:pt idx="6">
                  <c:v>8.01</c:v>
                </c:pt>
                <c:pt idx="7">
                  <c:v>9.99</c:v>
                </c:pt>
                <c:pt idx="8">
                  <c:v>12.06</c:v>
                </c:pt>
              </c:numCache>
            </c:numRef>
          </c:xVal>
          <c:yVal>
            <c:numRef>
              <c:f>'Experiment 2A'!$D$4:$D$12</c:f>
              <c:numCache>
                <c:formatCode>General</c:formatCode>
                <c:ptCount val="9"/>
                <c:pt idx="0">
                  <c:v>0.152</c:v>
                </c:pt>
                <c:pt idx="1">
                  <c:v>0.16200000000000001</c:v>
                </c:pt>
                <c:pt idx="2">
                  <c:v>0.17600000000000002</c:v>
                </c:pt>
                <c:pt idx="3">
                  <c:v>0.19899999999999998</c:v>
                </c:pt>
                <c:pt idx="4">
                  <c:v>0.23800000000000002</c:v>
                </c:pt>
                <c:pt idx="5">
                  <c:v>0.26899999999999996</c:v>
                </c:pt>
                <c:pt idx="6">
                  <c:v>0.29699999999999999</c:v>
                </c:pt>
                <c:pt idx="7">
                  <c:v>0.32500000000000001</c:v>
                </c:pt>
                <c:pt idx="8">
                  <c:v>0.35399999999999998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07-4B33-BC23-E410B67C729F}"/>
            </c:ext>
          </c:extLst>
        </c:ser>
        <c:ser>
          <c:idx val="1"/>
          <c:order val="1"/>
          <c:tx>
            <c:v>p-n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6057305336832892E-2"/>
                  <c:y val="-7.32254301545640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'Experiment 2A'!$E$4:$E$12</c:f>
              <c:numCache>
                <c:formatCode>General</c:formatCode>
                <c:ptCount val="9"/>
                <c:pt idx="0">
                  <c:v>0.24970000000000001</c:v>
                </c:pt>
                <c:pt idx="1">
                  <c:v>0.49619999999999997</c:v>
                </c:pt>
                <c:pt idx="2">
                  <c:v>0.99399999999999999</c:v>
                </c:pt>
                <c:pt idx="3">
                  <c:v>1.9990000000000001</c:v>
                </c:pt>
                <c:pt idx="4">
                  <c:v>4.0419999999999998</c:v>
                </c:pt>
                <c:pt idx="5">
                  <c:v>6.0209999999999999</c:v>
                </c:pt>
                <c:pt idx="6">
                  <c:v>7.99</c:v>
                </c:pt>
                <c:pt idx="7">
                  <c:v>10.09</c:v>
                </c:pt>
                <c:pt idx="8">
                  <c:v>11.93</c:v>
                </c:pt>
              </c:numCache>
            </c:numRef>
          </c:xVal>
          <c:yVal>
            <c:numRef>
              <c:f>'Experiment 2A'!$G$4:$G$12</c:f>
              <c:numCache>
                <c:formatCode>General</c:formatCode>
                <c:ptCount val="9"/>
                <c:pt idx="0">
                  <c:v>2E-3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07-4B33-BC23-E410B67C7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317855"/>
        <c:axId val="1535164847"/>
      </c:scatterChart>
      <c:valAx>
        <c:axId val="171331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64847"/>
        <c:crosses val="autoZero"/>
        <c:crossBetween val="midCat"/>
      </c:valAx>
      <c:valAx>
        <c:axId val="15351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31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2B'!$F$7:$F$14</c:f>
              <c:numCache>
                <c:formatCode>General</c:formatCode>
                <c:ptCount val="8"/>
                <c:pt idx="0">
                  <c:v>0.36909999999999998</c:v>
                </c:pt>
                <c:pt idx="1">
                  <c:v>0.40429999999999999</c:v>
                </c:pt>
                <c:pt idx="2">
                  <c:v>0.43730000000000002</c:v>
                </c:pt>
                <c:pt idx="3">
                  <c:v>0.48209999999999997</c:v>
                </c:pt>
                <c:pt idx="4">
                  <c:v>0.51449999999999996</c:v>
                </c:pt>
                <c:pt idx="5">
                  <c:v>0.54769999999999996</c:v>
                </c:pt>
                <c:pt idx="6">
                  <c:v>0.59040000000000004</c:v>
                </c:pt>
                <c:pt idx="7">
                  <c:v>0.60429999999999995</c:v>
                </c:pt>
              </c:numCache>
            </c:numRef>
          </c:xVal>
          <c:yVal>
            <c:numRef>
              <c:f>'Experiment 2B'!$G$7:$G$14</c:f>
              <c:numCache>
                <c:formatCode>General</c:formatCode>
                <c:ptCount val="8"/>
                <c:pt idx="0">
                  <c:v>4.4457764250601226</c:v>
                </c:pt>
                <c:pt idx="1">
                  <c:v>5.1488739364732359</c:v>
                </c:pt>
                <c:pt idx="2">
                  <c:v>5.8370583276910528</c:v>
                </c:pt>
                <c:pt idx="3">
                  <c:v>6.7817962941404062</c:v>
                </c:pt>
                <c:pt idx="4">
                  <c:v>7.4484843123505389</c:v>
                </c:pt>
                <c:pt idx="5">
                  <c:v>8.1485587843430505</c:v>
                </c:pt>
                <c:pt idx="6">
                  <c:v>9.044928538722651</c:v>
                </c:pt>
                <c:pt idx="7">
                  <c:v>9.327213780684696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D-C845-8B93-F5A0326CA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053632"/>
        <c:axId val="1875063936"/>
      </c:scatterChart>
      <c:valAx>
        <c:axId val="187505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5063936"/>
        <c:crosses val="autoZero"/>
        <c:crossBetween val="midCat"/>
      </c:valAx>
      <c:valAx>
        <c:axId val="18750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505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SBD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20354184893554972"/>
          <c:w val="0.88071084864391946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2B'!$C$7:$C$14</c:f>
              <c:numCache>
                <c:formatCode>General</c:formatCode>
                <c:ptCount val="8"/>
                <c:pt idx="0">
                  <c:v>8.7300000000000003E-2</c:v>
                </c:pt>
                <c:pt idx="1">
                  <c:v>0.107</c:v>
                </c:pt>
                <c:pt idx="2">
                  <c:v>0.12590000000000001</c:v>
                </c:pt>
                <c:pt idx="3">
                  <c:v>0.1487</c:v>
                </c:pt>
                <c:pt idx="4">
                  <c:v>0.16739999999999999</c:v>
                </c:pt>
                <c:pt idx="5">
                  <c:v>0.1862</c:v>
                </c:pt>
                <c:pt idx="6">
                  <c:v>0.21049999999999999</c:v>
                </c:pt>
                <c:pt idx="7">
                  <c:v>0.21840000000000001</c:v>
                </c:pt>
              </c:numCache>
            </c:numRef>
          </c:xVal>
          <c:yVal>
            <c:numRef>
              <c:f>'Experiment 2B'!$D$7:$D$14</c:f>
              <c:numCache>
                <c:formatCode>General</c:formatCode>
                <c:ptCount val="8"/>
                <c:pt idx="0">
                  <c:v>4.3667332177196698</c:v>
                </c:pt>
                <c:pt idx="1">
                  <c:v>5.1547969547763586</c:v>
                </c:pt>
                <c:pt idx="2">
                  <c:v>5.8684027154274041</c:v>
                </c:pt>
                <c:pt idx="3">
                  <c:v>6.7785026749661554</c:v>
                </c:pt>
                <c:pt idx="4">
                  <c:v>7.4494768682632904</c:v>
                </c:pt>
                <c:pt idx="5">
                  <c:v>8.146090256799722</c:v>
                </c:pt>
                <c:pt idx="6">
                  <c:v>9.0533437356479354</c:v>
                </c:pt>
                <c:pt idx="7">
                  <c:v>9.3241747265298454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7-1144-9F2C-B2043FE47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710208"/>
        <c:axId val="1876705280"/>
      </c:scatterChart>
      <c:valAx>
        <c:axId val="187671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6705280"/>
        <c:crosses val="autoZero"/>
        <c:crossBetween val="midCat"/>
      </c:valAx>
      <c:valAx>
        <c:axId val="18767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671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8</xdr:row>
      <xdr:rowOff>7620</xdr:rowOff>
    </xdr:from>
    <xdr:to>
      <xdr:col>14</xdr:col>
      <xdr:colOff>137160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C3A13-10B2-4C48-9EDC-A6D57AEAD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23</xdr:row>
      <xdr:rowOff>7620</xdr:rowOff>
    </xdr:from>
    <xdr:to>
      <xdr:col>11</xdr:col>
      <xdr:colOff>274320</xdr:colOff>
      <xdr:row>27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C5A789-D0B6-447E-BC59-B3F4DCD565D1}"/>
            </a:ext>
          </a:extLst>
        </xdr:cNvPr>
        <xdr:cNvSpPr txBox="1"/>
      </xdr:nvSpPr>
      <xdr:spPr>
        <a:xfrm>
          <a:off x="6484620" y="4762500"/>
          <a:ext cx="331470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Note on fitting:</a:t>
          </a:r>
        </a:p>
        <a:p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Data is fitted using the in-built "Format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trendline" function,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with the equation displayed on the chart.</a:t>
          </a:r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3</xdr:col>
      <xdr:colOff>1164772</xdr:colOff>
      <xdr:row>33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EC95B88-EEC4-4990-BF1E-E796FFACAD6E}"/>
            </a:ext>
          </a:extLst>
        </xdr:cNvPr>
        <xdr:cNvSpPr txBox="1"/>
      </xdr:nvSpPr>
      <xdr:spPr>
        <a:xfrm>
          <a:off x="1175657" y="5399314"/>
          <a:ext cx="3516086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Note on linest function:</a:t>
          </a:r>
        </a:p>
        <a:p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Function can be found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under the "Formulas" tab --&gt; "Insert function" --&gt; search "linest" function.</a:t>
          </a:r>
        </a:p>
        <a:p>
          <a:endParaRPr lang="en-GB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Function arguments: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"Const" and "Stats" set to TRUE.</a:t>
          </a:r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270013</xdr:colOff>
      <xdr:row>1</xdr:row>
      <xdr:rowOff>905289</xdr:rowOff>
    </xdr:from>
    <xdr:to>
      <xdr:col>15</xdr:col>
      <xdr:colOff>65156</xdr:colOff>
      <xdr:row>13</xdr:row>
      <xdr:rowOff>59910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AAD9F-1CFC-4C7B-B263-22CA9B03A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522993</xdr:colOff>
      <xdr:row>6</xdr:row>
      <xdr:rowOff>176212</xdr:rowOff>
    </xdr:from>
    <xdr:to>
      <xdr:col>14</xdr:col>
      <xdr:colOff>403049</xdr:colOff>
      <xdr:row>16</xdr:row>
      <xdr:rowOff>61912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22AF5F6-F13C-BA9B-F18D-85C84664A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620007</xdr:colOff>
      <xdr:row>16</xdr:row>
      <xdr:rowOff>140934</xdr:rowOff>
    </xdr:from>
    <xdr:to>
      <xdr:col>14</xdr:col>
      <xdr:colOff>500063</xdr:colOff>
      <xdr:row>30</xdr:row>
      <xdr:rowOff>167746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05B224-A6EB-7856-272F-D1CEED6AD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978E-11A1-4628-A7BE-8934C7EA26E9}">
  <dimension ref="A1:J25"/>
  <sheetViews>
    <sheetView topLeftCell="C5" zoomScale="167" zoomScaleNormal="70" workbookViewId="0">
      <selection activeCell="A19" sqref="A19"/>
    </sheetView>
  </sheetViews>
  <sheetFormatPr baseColWidth="10" defaultColWidth="8.83203125" defaultRowHeight="15"/>
  <cols>
    <col min="1" max="1" width="20.5" customWidth="1"/>
    <col min="2" max="5" width="17.1640625" customWidth="1"/>
    <col min="10" max="10" width="8.83203125" customWidth="1"/>
  </cols>
  <sheetData>
    <row r="1" spans="1:10" ht="33.5" customHeight="1">
      <c r="A1" s="58"/>
      <c r="B1" s="1" t="s">
        <v>0</v>
      </c>
      <c r="C1" s="54" t="s">
        <v>2</v>
      </c>
      <c r="D1" s="52" t="s">
        <v>3</v>
      </c>
      <c r="E1" s="60" t="s">
        <v>4</v>
      </c>
    </row>
    <row r="2" spans="1:10" ht="18" thickBot="1">
      <c r="A2" s="59"/>
      <c r="B2" s="2" t="s">
        <v>1</v>
      </c>
      <c r="C2" s="55"/>
      <c r="D2" s="53"/>
      <c r="E2" s="61"/>
      <c r="H2" s="33"/>
      <c r="I2" s="34" t="s">
        <v>50</v>
      </c>
      <c r="J2" s="34" t="s">
        <v>45</v>
      </c>
    </row>
    <row r="3" spans="1:10" ht="18">
      <c r="A3" s="52" t="s">
        <v>5</v>
      </c>
      <c r="B3" s="3" t="s">
        <v>71</v>
      </c>
      <c r="C3" s="54"/>
      <c r="D3" s="56" t="s">
        <v>68</v>
      </c>
      <c r="E3" s="4" t="s">
        <v>6</v>
      </c>
      <c r="H3" s="33"/>
      <c r="I3" s="35" t="s">
        <v>46</v>
      </c>
      <c r="J3" s="35">
        <v>10.48</v>
      </c>
    </row>
    <row r="4" spans="1:10" ht="19" thickBot="1">
      <c r="A4" s="53"/>
      <c r="B4" s="5" t="s">
        <v>66</v>
      </c>
      <c r="C4" s="55"/>
      <c r="D4" s="57"/>
      <c r="E4" s="6" t="s">
        <v>7</v>
      </c>
      <c r="H4" s="33"/>
      <c r="I4" s="36" t="s">
        <v>47</v>
      </c>
      <c r="J4" s="35">
        <v>1467.4</v>
      </c>
    </row>
    <row r="5" spans="1:10" ht="18">
      <c r="A5" s="7" t="s">
        <v>8</v>
      </c>
      <c r="B5" s="52"/>
      <c r="C5" s="54"/>
      <c r="D5" s="56" t="s">
        <v>69</v>
      </c>
      <c r="E5" s="52" t="s">
        <v>70</v>
      </c>
      <c r="H5" s="33"/>
      <c r="I5" s="36" t="s">
        <v>48</v>
      </c>
      <c r="J5" s="35">
        <v>1629.9</v>
      </c>
    </row>
    <row r="6" spans="1:10" ht="19" thickBot="1">
      <c r="A6" s="8" t="s">
        <v>9</v>
      </c>
      <c r="B6" s="53"/>
      <c r="C6" s="55"/>
      <c r="D6" s="57"/>
      <c r="E6" s="53"/>
      <c r="H6" s="33"/>
      <c r="I6" s="35"/>
      <c r="J6" s="35"/>
    </row>
    <row r="7" spans="1:10" ht="20">
      <c r="A7" s="40" t="s">
        <v>10</v>
      </c>
      <c r="B7" s="41" t="s">
        <v>11</v>
      </c>
      <c r="C7" s="42" t="s">
        <v>51</v>
      </c>
      <c r="D7" s="43"/>
      <c r="E7" s="44" t="s">
        <v>52</v>
      </c>
      <c r="I7" s="35" t="s">
        <v>49</v>
      </c>
      <c r="J7" s="37">
        <f>J3/((J5^2/J4^2)-1)</f>
        <v>44.835464585383306</v>
      </c>
    </row>
    <row r="8" spans="1:10" ht="20" thickBot="1">
      <c r="A8" s="45" t="s">
        <v>53</v>
      </c>
      <c r="B8" s="46" t="s">
        <v>54</v>
      </c>
      <c r="C8" s="47" t="s">
        <v>55</v>
      </c>
      <c r="D8" s="48" t="s">
        <v>56</v>
      </c>
      <c r="E8" s="49" t="s">
        <v>57</v>
      </c>
    </row>
    <row r="9" spans="1:10" ht="16" thickBot="1">
      <c r="A9" s="8" t="s">
        <v>12</v>
      </c>
      <c r="B9" s="38">
        <v>11.95</v>
      </c>
      <c r="C9" s="6">
        <f>(0.5+B9)^(-1/2)</f>
        <v>0.28341010063256789</v>
      </c>
      <c r="D9" s="39">
        <v>1556.63</v>
      </c>
      <c r="E9" s="6">
        <f>J$7*((J$5^2/D9^2)-1)</f>
        <v>4.3201127862242226</v>
      </c>
    </row>
    <row r="10" spans="1:10" ht="16" thickBot="1">
      <c r="A10" s="8" t="s">
        <v>13</v>
      </c>
      <c r="B10" s="38">
        <v>8.0500000000000007</v>
      </c>
      <c r="C10" s="6">
        <f t="shared" ref="C10:C16" si="0">(0.5+B10)^(-1/2)</f>
        <v>0.34199278402838473</v>
      </c>
      <c r="D10" s="39">
        <v>1551.9</v>
      </c>
      <c r="E10" s="6">
        <f t="shared" ref="E10:E16" si="1">J$7*((J$5^2/D10^2)-1)</f>
        <v>4.6202097069117638</v>
      </c>
    </row>
    <row r="11" spans="1:10" ht="16" thickBot="1">
      <c r="A11" s="8" t="s">
        <v>14</v>
      </c>
      <c r="B11" s="38">
        <v>5.01</v>
      </c>
      <c r="C11" s="6">
        <f t="shared" si="0"/>
        <v>0.426014322842305</v>
      </c>
      <c r="D11" s="39">
        <v>1544.992</v>
      </c>
      <c r="E11" s="6">
        <f t="shared" si="1"/>
        <v>5.0634528712209308</v>
      </c>
    </row>
    <row r="12" spans="1:10" ht="16" thickBot="1">
      <c r="A12" s="8" t="s">
        <v>15</v>
      </c>
      <c r="B12" s="38">
        <v>4.0350000000000001</v>
      </c>
      <c r="C12" s="6">
        <f t="shared" si="0"/>
        <v>0.46958190604292949</v>
      </c>
      <c r="D12" s="39">
        <v>1541.3389999999999</v>
      </c>
      <c r="E12" s="6">
        <f t="shared" si="1"/>
        <v>5.3002557416127924</v>
      </c>
    </row>
    <row r="13" spans="1:10" ht="16" thickBot="1">
      <c r="A13" s="8" t="s">
        <v>16</v>
      </c>
      <c r="B13" s="38">
        <v>3.048</v>
      </c>
      <c r="C13" s="6">
        <f t="shared" si="0"/>
        <v>0.53089446123883222</v>
      </c>
      <c r="D13" s="39">
        <v>1535.8230000000001</v>
      </c>
      <c r="E13" s="6">
        <f t="shared" si="1"/>
        <v>5.6610333231278256</v>
      </c>
    </row>
    <row r="14" spans="1:10" ht="16" thickBot="1">
      <c r="A14" s="8" t="s">
        <v>17</v>
      </c>
      <c r="B14" s="38">
        <v>2.0529999999999999</v>
      </c>
      <c r="C14" s="6">
        <f t="shared" si="0"/>
        <v>0.62585624856667921</v>
      </c>
      <c r="D14" s="39">
        <v>1526.768</v>
      </c>
      <c r="E14" s="6">
        <f t="shared" si="1"/>
        <v>6.2617817169419787</v>
      </c>
    </row>
    <row r="15" spans="1:10" ht="16" thickBot="1">
      <c r="A15" s="8" t="s">
        <v>18</v>
      </c>
      <c r="B15" s="38">
        <v>1.484</v>
      </c>
      <c r="C15" s="6">
        <f t="shared" si="0"/>
        <v>0.7099522928088311</v>
      </c>
      <c r="D15" s="39">
        <v>1517.9359999999999</v>
      </c>
      <c r="E15" s="6">
        <f t="shared" si="1"/>
        <v>6.8581227759714602</v>
      </c>
    </row>
    <row r="16" spans="1:10" ht="16" thickBot="1">
      <c r="A16" s="8" t="s">
        <v>67</v>
      </c>
      <c r="B16" s="38">
        <v>0.998</v>
      </c>
      <c r="C16" s="6">
        <f t="shared" si="0"/>
        <v>0.81704145691825059</v>
      </c>
      <c r="D16" s="39">
        <v>1505.866</v>
      </c>
      <c r="E16" s="6">
        <f t="shared" si="1"/>
        <v>7.6901252857351201</v>
      </c>
    </row>
    <row r="20" spans="1:4">
      <c r="A20" s="50"/>
      <c r="B20" s="51" t="s">
        <v>58</v>
      </c>
      <c r="D20" s="51"/>
    </row>
    <row r="21" spans="1:4">
      <c r="A21" s="51" t="s">
        <v>59</v>
      </c>
      <c r="B21" cm="1">
        <f t="array" ref="B21:C25">LINEST(E9:E16,C9:C16,TRUE,TRUE)</f>
        <v>6.2615058838889368</v>
      </c>
      <c r="C21">
        <v>2.4308834480836414</v>
      </c>
      <c r="D21" s="51" t="s">
        <v>60</v>
      </c>
    </row>
    <row r="22" spans="1:4">
      <c r="A22" s="51" t="s">
        <v>62</v>
      </c>
      <c r="B22">
        <v>0.20504712802338526</v>
      </c>
      <c r="C22">
        <v>0.11334325897201282</v>
      </c>
      <c r="D22" s="51" t="s">
        <v>63</v>
      </c>
    </row>
    <row r="23" spans="1:4" ht="17">
      <c r="A23" s="51" t="s">
        <v>61</v>
      </c>
      <c r="B23">
        <v>0.99360683934424698</v>
      </c>
      <c r="C23">
        <v>9.927884088561853E-2</v>
      </c>
      <c r="D23" s="51"/>
    </row>
    <row r="24" spans="1:4">
      <c r="A24" s="51"/>
      <c r="B24">
        <v>932.50292884488385</v>
      </c>
      <c r="C24">
        <v>6</v>
      </c>
      <c r="D24" s="51"/>
    </row>
    <row r="25" spans="1:4">
      <c r="B25">
        <v>9.1910176584189127</v>
      </c>
      <c r="C25">
        <v>5.9137729485551772E-2</v>
      </c>
      <c r="D25" s="51"/>
    </row>
  </sheetData>
  <mergeCells count="11">
    <mergeCell ref="B5:B6"/>
    <mergeCell ref="C5:C6"/>
    <mergeCell ref="D5:D6"/>
    <mergeCell ref="E5:E6"/>
    <mergeCell ref="A1:A2"/>
    <mergeCell ref="C1:C2"/>
    <mergeCell ref="D1:D2"/>
    <mergeCell ref="E1:E2"/>
    <mergeCell ref="A3:A4"/>
    <mergeCell ref="C3:C4"/>
    <mergeCell ref="D3:D4"/>
  </mergeCells>
  <phoneticPr fontId="50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5A6-B75D-4695-8F97-E95B0FAD4D55}">
  <dimension ref="A1:G12"/>
  <sheetViews>
    <sheetView topLeftCell="B1" zoomScale="142" zoomScaleNormal="117" workbookViewId="0">
      <selection activeCell="J16" sqref="J16"/>
    </sheetView>
  </sheetViews>
  <sheetFormatPr baseColWidth="10" defaultColWidth="8.83203125" defaultRowHeight="15"/>
  <cols>
    <col min="1" max="7" width="20.1640625" customWidth="1"/>
  </cols>
  <sheetData>
    <row r="1" spans="1:7" ht="19">
      <c r="A1" s="13" t="s">
        <v>10</v>
      </c>
      <c r="B1" s="29" t="s">
        <v>11</v>
      </c>
      <c r="C1" s="14" t="s">
        <v>11</v>
      </c>
      <c r="D1" s="14" t="s">
        <v>22</v>
      </c>
      <c r="E1" s="29" t="s">
        <v>11</v>
      </c>
      <c r="F1" s="14" t="s">
        <v>11</v>
      </c>
      <c r="G1" s="14" t="s">
        <v>11</v>
      </c>
    </row>
    <row r="2" spans="1:7" ht="76">
      <c r="A2" s="15" t="s">
        <v>20</v>
      </c>
      <c r="B2" s="32" t="s">
        <v>43</v>
      </c>
      <c r="C2" s="16" t="s">
        <v>64</v>
      </c>
      <c r="D2" s="17" t="s">
        <v>23</v>
      </c>
      <c r="E2" s="32" t="s">
        <v>43</v>
      </c>
      <c r="F2" s="16" t="s">
        <v>65</v>
      </c>
      <c r="G2" s="17" t="s">
        <v>25</v>
      </c>
    </row>
    <row r="3" spans="1:7" ht="22" thickBot="1">
      <c r="A3" s="18"/>
      <c r="B3" s="24"/>
      <c r="C3" s="19" t="s">
        <v>44</v>
      </c>
      <c r="D3" s="20"/>
      <c r="E3" s="24"/>
      <c r="F3" s="19" t="s">
        <v>44</v>
      </c>
      <c r="G3" s="19" t="s">
        <v>26</v>
      </c>
    </row>
    <row r="4" spans="1:7" ht="20" thickBot="1">
      <c r="A4" s="10" t="s">
        <v>27</v>
      </c>
      <c r="B4" s="11">
        <v>0.25040000000000001</v>
      </c>
      <c r="C4" s="12">
        <v>15.2</v>
      </c>
      <c r="D4" s="12">
        <f>C4/100</f>
        <v>0.152</v>
      </c>
      <c r="E4" s="11">
        <v>0.24970000000000001</v>
      </c>
      <c r="F4" s="12">
        <v>0.2</v>
      </c>
      <c r="G4" s="12">
        <f>F4/100</f>
        <v>2E-3</v>
      </c>
    </row>
    <row r="5" spans="1:7" ht="20" thickBot="1">
      <c r="A5" s="10" t="s">
        <v>28</v>
      </c>
      <c r="B5" s="11">
        <v>0.50090000000000001</v>
      </c>
      <c r="C5" s="12">
        <v>16.2</v>
      </c>
      <c r="D5" s="12">
        <f t="shared" ref="D5:D12" si="0">C5/100</f>
        <v>0.16200000000000001</v>
      </c>
      <c r="E5" s="11">
        <v>0.49619999999999997</v>
      </c>
      <c r="F5" s="12">
        <v>0.3</v>
      </c>
      <c r="G5" s="12">
        <f t="shared" ref="G5:G12" si="1">F5/100</f>
        <v>3.0000000000000001E-3</v>
      </c>
    </row>
    <row r="6" spans="1:7" ht="20" thickBot="1">
      <c r="A6" s="10" t="s">
        <v>19</v>
      </c>
      <c r="B6" s="11">
        <v>1.002</v>
      </c>
      <c r="C6" s="12">
        <v>17.600000000000001</v>
      </c>
      <c r="D6" s="12">
        <f t="shared" si="0"/>
        <v>0.17600000000000002</v>
      </c>
      <c r="E6" s="11">
        <v>0.99399999999999999</v>
      </c>
      <c r="F6" s="12">
        <v>0.4</v>
      </c>
      <c r="G6" s="12">
        <f t="shared" si="1"/>
        <v>4.0000000000000001E-3</v>
      </c>
    </row>
    <row r="7" spans="1:7" ht="20" thickBot="1">
      <c r="A7" s="10" t="s">
        <v>17</v>
      </c>
      <c r="B7" s="11">
        <v>2.004</v>
      </c>
      <c r="C7" s="12">
        <v>19.899999999999999</v>
      </c>
      <c r="D7" s="12">
        <f t="shared" si="0"/>
        <v>0.19899999999999998</v>
      </c>
      <c r="E7" s="11">
        <v>1.9990000000000001</v>
      </c>
      <c r="F7" s="12">
        <v>0.4</v>
      </c>
      <c r="G7" s="12">
        <f t="shared" si="1"/>
        <v>4.0000000000000001E-3</v>
      </c>
    </row>
    <row r="8" spans="1:7" ht="20" thickBot="1">
      <c r="A8" s="10" t="s">
        <v>15</v>
      </c>
      <c r="B8" s="11">
        <v>4.0039999999999996</v>
      </c>
      <c r="C8" s="12">
        <v>23.8</v>
      </c>
      <c r="D8" s="12">
        <f t="shared" si="0"/>
        <v>0.23800000000000002</v>
      </c>
      <c r="E8" s="11">
        <v>4.0419999999999998</v>
      </c>
      <c r="F8" s="12">
        <v>0.5</v>
      </c>
      <c r="G8" s="12">
        <f t="shared" si="1"/>
        <v>5.0000000000000001E-3</v>
      </c>
    </row>
    <row r="9" spans="1:7" ht="20" thickBot="1">
      <c r="A9" s="10" t="s">
        <v>29</v>
      </c>
      <c r="B9" s="11">
        <v>6.032</v>
      </c>
      <c r="C9" s="12">
        <v>26.9</v>
      </c>
      <c r="D9" s="12">
        <f t="shared" si="0"/>
        <v>0.26899999999999996</v>
      </c>
      <c r="E9" s="11">
        <v>6.0209999999999999</v>
      </c>
      <c r="F9" s="12">
        <v>0.6</v>
      </c>
      <c r="G9" s="12">
        <f t="shared" si="1"/>
        <v>6.0000000000000001E-3</v>
      </c>
    </row>
    <row r="10" spans="1:7" ht="20" thickBot="1">
      <c r="A10" s="10" t="s">
        <v>13</v>
      </c>
      <c r="B10" s="11">
        <v>8.01</v>
      </c>
      <c r="C10" s="12">
        <v>29.7</v>
      </c>
      <c r="D10" s="12">
        <f t="shared" si="0"/>
        <v>0.29699999999999999</v>
      </c>
      <c r="E10" s="11">
        <v>7.99</v>
      </c>
      <c r="F10" s="12">
        <v>0.6</v>
      </c>
      <c r="G10" s="12">
        <f t="shared" si="1"/>
        <v>6.0000000000000001E-3</v>
      </c>
    </row>
    <row r="11" spans="1:7" ht="20" thickBot="1">
      <c r="A11" s="10" t="s">
        <v>30</v>
      </c>
      <c r="B11" s="11">
        <v>9.99</v>
      </c>
      <c r="C11" s="12">
        <v>32.5</v>
      </c>
      <c r="D11" s="12">
        <f t="shared" si="0"/>
        <v>0.32500000000000001</v>
      </c>
      <c r="E11" s="11">
        <v>10.09</v>
      </c>
      <c r="F11" s="12">
        <v>0.6</v>
      </c>
      <c r="G11" s="12">
        <f t="shared" si="1"/>
        <v>6.0000000000000001E-3</v>
      </c>
    </row>
    <row r="12" spans="1:7" ht="20" thickBot="1">
      <c r="A12" s="10" t="s">
        <v>12</v>
      </c>
      <c r="B12" s="11">
        <v>12.06</v>
      </c>
      <c r="C12" s="12">
        <v>35.4</v>
      </c>
      <c r="D12" s="12">
        <f t="shared" si="0"/>
        <v>0.35399999999999998</v>
      </c>
      <c r="E12" s="11">
        <v>11.93</v>
      </c>
      <c r="F12" s="12">
        <v>0.6</v>
      </c>
      <c r="G12" s="12">
        <f t="shared" si="1"/>
        <v>6.0000000000000001E-3</v>
      </c>
    </row>
  </sheetData>
  <phoneticPr fontId="50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B51A-D113-4914-AF53-DE568761F3B5}">
  <dimension ref="A1:I16"/>
  <sheetViews>
    <sheetView tabSelected="1" topLeftCell="A5" zoomScale="144" workbookViewId="0">
      <selection activeCell="G21" sqref="G21"/>
    </sheetView>
  </sheetViews>
  <sheetFormatPr baseColWidth="10" defaultColWidth="8.83203125" defaultRowHeight="15"/>
  <cols>
    <col min="4" max="4" width="18.83203125" bestFit="1" customWidth="1"/>
    <col min="6" max="6" width="10.6640625" bestFit="1" customWidth="1"/>
    <col min="7" max="7" width="18.83203125" bestFit="1" customWidth="1"/>
  </cols>
  <sheetData>
    <row r="1" spans="1:9" ht="34">
      <c r="A1" s="54"/>
      <c r="B1" s="54" t="s">
        <v>31</v>
      </c>
      <c r="C1" s="21" t="s">
        <v>32</v>
      </c>
      <c r="D1" s="54"/>
      <c r="E1" s="22" t="s">
        <v>24</v>
      </c>
      <c r="F1" s="22" t="s">
        <v>24</v>
      </c>
      <c r="G1" s="54"/>
    </row>
    <row r="2" spans="1:9" ht="17">
      <c r="A2" s="62"/>
      <c r="B2" s="62"/>
      <c r="C2" s="23" t="s">
        <v>33</v>
      </c>
      <c r="D2" s="62"/>
      <c r="E2" s="9" t="s">
        <v>34</v>
      </c>
      <c r="F2" s="9" t="s">
        <v>35</v>
      </c>
      <c r="G2" s="62"/>
    </row>
    <row r="3" spans="1:9" ht="18" thickBot="1">
      <c r="A3" s="55"/>
      <c r="B3" s="55"/>
      <c r="C3" s="20"/>
      <c r="D3" s="55"/>
      <c r="E3" s="24"/>
      <c r="F3" s="25" t="s">
        <v>33</v>
      </c>
      <c r="G3" s="55"/>
    </row>
    <row r="4" spans="1:9">
      <c r="A4" s="7" t="s">
        <v>10</v>
      </c>
      <c r="B4" s="26" t="s">
        <v>11</v>
      </c>
      <c r="C4" s="26" t="s">
        <v>11</v>
      </c>
      <c r="D4" s="52" t="s">
        <v>40</v>
      </c>
      <c r="E4" s="26" t="s">
        <v>11</v>
      </c>
      <c r="F4" s="26" t="s">
        <v>11</v>
      </c>
      <c r="G4" s="52" t="s">
        <v>40</v>
      </c>
      <c r="I4" t="s">
        <v>77</v>
      </c>
    </row>
    <row r="5" spans="1:9" ht="18">
      <c r="A5" s="7" t="s">
        <v>36</v>
      </c>
      <c r="B5" s="26" t="s">
        <v>38</v>
      </c>
      <c r="C5" s="26" t="s">
        <v>39</v>
      </c>
      <c r="D5" s="63"/>
      <c r="E5" s="26" t="s">
        <v>38</v>
      </c>
      <c r="F5" s="26" t="s">
        <v>39</v>
      </c>
      <c r="G5" s="63"/>
      <c r="I5">
        <v>0.15939999999999999</v>
      </c>
    </row>
    <row r="6" spans="1:9" ht="16" thickBot="1">
      <c r="A6" s="8" t="s">
        <v>37</v>
      </c>
      <c r="B6" s="20"/>
      <c r="C6" s="20"/>
      <c r="D6" s="53"/>
      <c r="E6" s="20"/>
      <c r="F6" s="20"/>
      <c r="G6" s="53"/>
    </row>
    <row r="7" spans="1:9" ht="24" thickBot="1">
      <c r="A7" s="10">
        <v>5</v>
      </c>
      <c r="B7" s="12">
        <v>4.62</v>
      </c>
      <c r="C7" s="12">
        <v>8.7300000000000003E-2</v>
      </c>
      <c r="D7" s="27">
        <f>LN(B7/I$5)+1</f>
        <v>4.3667332177196698</v>
      </c>
      <c r="E7" s="12">
        <v>5</v>
      </c>
      <c r="F7" s="12">
        <v>0.36909999999999998</v>
      </c>
      <c r="G7" s="27">
        <f>LN(E7/I$5)+1</f>
        <v>4.4457764250601226</v>
      </c>
    </row>
    <row r="8" spans="1:9" ht="24" thickBot="1">
      <c r="A8" s="10">
        <v>10</v>
      </c>
      <c r="B8" s="12">
        <v>10.16</v>
      </c>
      <c r="C8" s="12">
        <v>0.107</v>
      </c>
      <c r="D8" s="27">
        <f t="shared" ref="D8:D14" si="0">LN(B8/I$5)+1</f>
        <v>5.1547969547763586</v>
      </c>
      <c r="E8" s="12">
        <v>10.1</v>
      </c>
      <c r="F8" s="12">
        <v>0.40429999999999999</v>
      </c>
      <c r="G8" s="27">
        <f t="shared" ref="G8:G14" si="1">LN(E8/I$5)+1</f>
        <v>5.1488739364732359</v>
      </c>
    </row>
    <row r="9" spans="1:9" ht="24" thickBot="1">
      <c r="A9" s="10">
        <v>20</v>
      </c>
      <c r="B9" s="12">
        <v>20.74</v>
      </c>
      <c r="C9" s="12">
        <v>0.12590000000000001</v>
      </c>
      <c r="D9" s="27">
        <f t="shared" si="0"/>
        <v>5.8684027154274041</v>
      </c>
      <c r="E9" s="12">
        <v>20.100000000000001</v>
      </c>
      <c r="F9" s="12">
        <v>0.43730000000000002</v>
      </c>
      <c r="G9" s="27">
        <f t="shared" si="1"/>
        <v>5.8370583276910528</v>
      </c>
    </row>
    <row r="10" spans="1:9" ht="24" thickBot="1">
      <c r="A10" s="10">
        <v>50</v>
      </c>
      <c r="B10" s="12">
        <v>51.53</v>
      </c>
      <c r="C10" s="12">
        <v>0.1487</v>
      </c>
      <c r="D10" s="27">
        <f t="shared" si="0"/>
        <v>6.7785026749661554</v>
      </c>
      <c r="E10" s="12">
        <v>51.7</v>
      </c>
      <c r="F10" s="12">
        <v>0.48209999999999997</v>
      </c>
      <c r="G10" s="27">
        <f t="shared" si="1"/>
        <v>6.7817962941404062</v>
      </c>
    </row>
    <row r="11" spans="1:9" ht="24" thickBot="1">
      <c r="A11" s="10">
        <v>100</v>
      </c>
      <c r="B11" s="12">
        <v>100.8</v>
      </c>
      <c r="C11" s="12">
        <v>0.16739999999999999</v>
      </c>
      <c r="D11" s="27">
        <f t="shared" si="0"/>
        <v>7.4494768682632904</v>
      </c>
      <c r="E11" s="12">
        <v>100.7</v>
      </c>
      <c r="F11" s="12">
        <v>0.51449999999999996</v>
      </c>
      <c r="G11" s="27">
        <f t="shared" si="1"/>
        <v>7.4484843123505389</v>
      </c>
    </row>
    <row r="12" spans="1:9" ht="24" thickBot="1">
      <c r="A12" s="10">
        <v>200</v>
      </c>
      <c r="B12" s="12">
        <v>202.3</v>
      </c>
      <c r="C12" s="12">
        <v>0.1862</v>
      </c>
      <c r="D12" s="27">
        <f t="shared" si="0"/>
        <v>8.146090256799722</v>
      </c>
      <c r="E12" s="12">
        <v>202.8</v>
      </c>
      <c r="F12" s="12">
        <v>0.54769999999999996</v>
      </c>
      <c r="G12" s="27">
        <f t="shared" si="1"/>
        <v>8.1485587843430505</v>
      </c>
    </row>
    <row r="13" spans="1:9" ht="24" thickBot="1">
      <c r="A13" s="10">
        <v>500</v>
      </c>
      <c r="B13" s="12">
        <v>501.2</v>
      </c>
      <c r="C13" s="12">
        <v>0.21049999999999999</v>
      </c>
      <c r="D13" s="27">
        <f t="shared" si="0"/>
        <v>9.0533437356479354</v>
      </c>
      <c r="E13" s="12">
        <v>497</v>
      </c>
      <c r="F13" s="12">
        <v>0.59040000000000004</v>
      </c>
      <c r="G13" s="27">
        <f t="shared" si="1"/>
        <v>9.044928538722651</v>
      </c>
    </row>
    <row r="14" spans="1:9" ht="24" thickBot="1">
      <c r="A14" s="10">
        <v>700</v>
      </c>
      <c r="B14" s="12">
        <v>657.1</v>
      </c>
      <c r="C14" s="12">
        <v>0.21840000000000001</v>
      </c>
      <c r="D14" s="27">
        <f t="shared" si="0"/>
        <v>9.3241747265298454</v>
      </c>
      <c r="E14" s="12">
        <v>659.1</v>
      </c>
      <c r="F14" s="12">
        <v>0.60429999999999995</v>
      </c>
      <c r="G14" s="27">
        <f t="shared" si="1"/>
        <v>9.327213780684696</v>
      </c>
    </row>
    <row r="16" spans="1:9">
      <c r="A16" t="s">
        <v>72</v>
      </c>
      <c r="E16" t="s">
        <v>73</v>
      </c>
      <c r="F16" t="s">
        <v>74</v>
      </c>
    </row>
  </sheetData>
  <mergeCells count="6">
    <mergeCell ref="A1:A3"/>
    <mergeCell ref="B1:B3"/>
    <mergeCell ref="D1:D3"/>
    <mergeCell ref="G1:G3"/>
    <mergeCell ref="D4:D6"/>
    <mergeCell ref="G4:G6"/>
  </mergeCells>
  <phoneticPr fontId="5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9AC5-C297-4B46-A05B-126358815D65}">
  <dimension ref="A1:E12"/>
  <sheetViews>
    <sheetView zoomScale="168" workbookViewId="0">
      <selection activeCell="D17" sqref="D17"/>
    </sheetView>
  </sheetViews>
  <sheetFormatPr baseColWidth="10" defaultColWidth="8.83203125" defaultRowHeight="15"/>
  <cols>
    <col min="1" max="3" width="15.83203125" customWidth="1"/>
    <col min="4" max="4" width="20.83203125" customWidth="1"/>
    <col min="5" max="5" width="15.83203125" customWidth="1"/>
  </cols>
  <sheetData>
    <row r="1" spans="1:5" ht="38" customHeight="1">
      <c r="A1" s="52"/>
      <c r="B1" s="64" t="s">
        <v>31</v>
      </c>
      <c r="C1" s="14" t="s">
        <v>21</v>
      </c>
      <c r="D1" s="64" t="s">
        <v>75</v>
      </c>
      <c r="E1" s="64" t="s">
        <v>76</v>
      </c>
    </row>
    <row r="2" spans="1:5" ht="19">
      <c r="A2" s="63"/>
      <c r="B2" s="65"/>
      <c r="C2" s="16" t="s">
        <v>35</v>
      </c>
      <c r="D2" s="65"/>
      <c r="E2" s="65"/>
    </row>
    <row r="3" spans="1:5" ht="20" thickBot="1">
      <c r="A3" s="53"/>
      <c r="B3" s="66"/>
      <c r="C3" s="30" t="s">
        <v>33</v>
      </c>
      <c r="D3" s="66"/>
      <c r="E3" s="66"/>
    </row>
    <row r="4" spans="1:5">
      <c r="A4" s="7" t="s">
        <v>10</v>
      </c>
      <c r="B4" s="26" t="s">
        <v>11</v>
      </c>
      <c r="C4" s="26" t="s">
        <v>11</v>
      </c>
      <c r="D4" s="26" t="s">
        <v>11</v>
      </c>
      <c r="E4" s="26" t="s">
        <v>11</v>
      </c>
    </row>
    <row r="5" spans="1:5" ht="18">
      <c r="A5" s="7" t="s">
        <v>36</v>
      </c>
      <c r="B5" s="26" t="s">
        <v>42</v>
      </c>
      <c r="C5" s="26" t="s">
        <v>39</v>
      </c>
      <c r="D5" s="26" t="s">
        <v>42</v>
      </c>
      <c r="E5" s="26" t="s">
        <v>39</v>
      </c>
    </row>
    <row r="6" spans="1:5" ht="16" thickBot="1">
      <c r="A6" s="8" t="s">
        <v>41</v>
      </c>
      <c r="B6" s="20"/>
      <c r="C6" s="20"/>
      <c r="D6" s="20"/>
      <c r="E6" s="20"/>
    </row>
    <row r="7" spans="1:5" ht="24" thickBot="1">
      <c r="A7" s="31">
        <v>10</v>
      </c>
      <c r="B7" s="28">
        <v>11</v>
      </c>
      <c r="C7" s="28">
        <v>0.31</v>
      </c>
      <c r="D7" s="28">
        <v>12</v>
      </c>
      <c r="E7" s="28">
        <v>0.74199999999999999</v>
      </c>
    </row>
    <row r="8" spans="1:5" ht="24" thickBot="1">
      <c r="A8" s="31">
        <v>25</v>
      </c>
      <c r="B8" s="28">
        <v>25</v>
      </c>
      <c r="C8" s="28">
        <v>0.35720000000000002</v>
      </c>
      <c r="D8" s="28">
        <v>29</v>
      </c>
      <c r="E8" s="28">
        <v>0.79800000000000004</v>
      </c>
    </row>
    <row r="9" spans="1:5" ht="24" thickBot="1">
      <c r="A9" s="31">
        <v>50</v>
      </c>
      <c r="B9" s="28">
        <v>50</v>
      </c>
      <c r="C9" s="28">
        <v>0.42399999999999999</v>
      </c>
      <c r="D9" s="28">
        <v>51</v>
      </c>
      <c r="E9" s="28">
        <v>0.82299999999999995</v>
      </c>
    </row>
    <row r="10" spans="1:5" ht="24" thickBot="1">
      <c r="A10" s="31">
        <v>75</v>
      </c>
      <c r="B10" s="28">
        <v>73</v>
      </c>
      <c r="C10" s="28">
        <v>0.48220000000000002</v>
      </c>
      <c r="D10" s="28">
        <v>74</v>
      </c>
      <c r="E10" s="28">
        <v>0.84399999999999997</v>
      </c>
    </row>
    <row r="11" spans="1:5" ht="24" thickBot="1">
      <c r="A11" s="31">
        <v>100</v>
      </c>
      <c r="B11" s="28">
        <v>104</v>
      </c>
      <c r="C11" s="28">
        <v>0.56159999999999999</v>
      </c>
      <c r="D11" s="28">
        <v>102</v>
      </c>
      <c r="E11" s="28">
        <v>0.86299999999999999</v>
      </c>
    </row>
    <row r="12" spans="1:5" ht="24" thickBot="1">
      <c r="A12" s="31">
        <v>150</v>
      </c>
      <c r="B12" s="28">
        <v>151</v>
      </c>
      <c r="C12" s="28">
        <v>0.66700000000000004</v>
      </c>
      <c r="D12" s="28">
        <v>152</v>
      </c>
      <c r="E12" s="28">
        <v>0.88600000000000001</v>
      </c>
    </row>
  </sheetData>
  <mergeCells count="4">
    <mergeCell ref="A1:A3"/>
    <mergeCell ref="B1:B3"/>
    <mergeCell ref="D1:D3"/>
    <mergeCell ref="E1:E3"/>
  </mergeCells>
  <phoneticPr fontId="5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Experiment 1</vt:lpstr>
      <vt:lpstr>Experiment 2A</vt:lpstr>
      <vt:lpstr>Experiment 2B</vt:lpstr>
      <vt:lpstr>Experiment 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Chirca</dc:creator>
  <cp:lastModifiedBy>O. Jiang</cp:lastModifiedBy>
  <dcterms:created xsi:type="dcterms:W3CDTF">2020-10-04T20:52:28Z</dcterms:created>
  <dcterms:modified xsi:type="dcterms:W3CDTF">2025-12-10T01:47:42Z</dcterms:modified>
</cp:coreProperties>
</file>